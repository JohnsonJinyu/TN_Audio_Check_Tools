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05_Audio_Packages\PKG_003_Voice_Tuning\"/>
    </mc:Choice>
  </mc:AlternateContent>
  <xr:revisionPtr revIDLastSave="0" documentId="13_ncr:1_{B8C62310-563D-4BFC-BB4A-88ABB08BC11D}" xr6:coauthVersionLast="47" xr6:coauthVersionMax="47" xr10:uidLastSave="{00000000-0000-0000-0000-000000000000}"/>
  <workbookProtection workbookAlgorithmName="SHA-512" workbookHashValue="IkfCMe5sR5f6MQdZD8JxcbI5SQcovYrkH0vCnCQal0Em40fW4XxXYalvDcPvTErnUcEA720dr9X2PQsZxY4hJw==" workbookSaltValue="b7ylUNwOsaGBWhTRfwAONA==" workbookSpinCount="100000" lockStructure="1"/>
  <bookViews>
    <workbookView xWindow="-120" yWindow="-120" windowWidth="29040" windowHeight="15720" tabRatio="783" xr2:uid="{00000000-000D-0000-FFFF-FFFF00000000}"/>
  </bookViews>
  <sheets>
    <sheet name="Report" sheetId="8" r:id="rId1"/>
    <sheet name="Handset" sheetId="1" state="hidden" r:id="rId2"/>
    <sheet name="Handsfree" sheetId="2" r:id="rId3"/>
    <sheet name="Headset" sheetId="3" state="hidden" r:id="rId4"/>
    <sheet name="ElectricalInterface-Analogue" sheetId="9" state="hidden" r:id="rId5"/>
    <sheet name="ElectricalInterface-Digital" sheetId="12" state="hidden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F57" i="12"/>
  <c r="E57" i="12"/>
  <c r="F56" i="12"/>
  <c r="E56" i="12"/>
  <c r="F55" i="12"/>
  <c r="E55" i="12"/>
  <c r="F54" i="12"/>
  <c r="E54" i="12"/>
  <c r="F52" i="12"/>
  <c r="E52" i="12"/>
  <c r="F51" i="12"/>
  <c r="E51" i="12"/>
  <c r="F50" i="12"/>
  <c r="E50" i="12"/>
  <c r="F49" i="12"/>
  <c r="E49" i="12"/>
  <c r="F48" i="12"/>
  <c r="E48" i="12"/>
  <c r="F47" i="12"/>
  <c r="E47" i="12"/>
  <c r="F46" i="12"/>
  <c r="E46" i="12"/>
  <c r="F45" i="12"/>
  <c r="E45" i="12"/>
  <c r="F44" i="12"/>
  <c r="E44" i="12"/>
  <c r="F43" i="12"/>
  <c r="E43" i="12"/>
  <c r="F42" i="12"/>
  <c r="E42" i="12"/>
  <c r="F41" i="12"/>
  <c r="E41" i="12"/>
  <c r="F40" i="12"/>
  <c r="E40" i="12"/>
  <c r="F39" i="12"/>
  <c r="E39" i="12"/>
  <c r="F38" i="12"/>
  <c r="E38" i="12"/>
  <c r="F37" i="12"/>
  <c r="E37" i="12"/>
  <c r="F36" i="12"/>
  <c r="E36" i="12"/>
  <c r="F35" i="12"/>
  <c r="E35" i="12"/>
  <c r="F34" i="12"/>
  <c r="E34" i="12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4" i="12"/>
  <c r="E24" i="12"/>
  <c r="F23" i="12"/>
  <c r="E23" i="12"/>
  <c r="F22" i="12"/>
  <c r="E22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B57" i="12"/>
  <c r="B56" i="12"/>
  <c r="B55" i="12"/>
  <c r="B54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F59" i="9" l="1"/>
  <c r="E59" i="9"/>
  <c r="F58" i="9"/>
  <c r="E58" i="9"/>
  <c r="F57" i="9"/>
  <c r="E57" i="9"/>
  <c r="F56" i="9"/>
  <c r="E56" i="9"/>
  <c r="F54" i="9"/>
  <c r="E54" i="9"/>
  <c r="F53" i="9"/>
  <c r="E53" i="9"/>
  <c r="F52" i="9"/>
  <c r="E52" i="9"/>
  <c r="F51" i="9"/>
  <c r="E51" i="9"/>
  <c r="F50" i="9"/>
  <c r="E50" i="9"/>
  <c r="F49" i="9"/>
  <c r="E49" i="9"/>
  <c r="F48" i="9"/>
  <c r="E48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B59" i="9"/>
  <c r="B58" i="9"/>
  <c r="B57" i="9"/>
  <c r="B56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E6" i="12"/>
  <c r="H20" i="12"/>
  <c r="K4" i="12"/>
  <c r="J4" i="12"/>
  <c r="I4" i="12"/>
  <c r="K3" i="12"/>
  <c r="J3" i="12"/>
  <c r="I3" i="12"/>
  <c r="F44" i="3"/>
  <c r="E44" i="3"/>
  <c r="F43" i="3"/>
  <c r="E43" i="3"/>
  <c r="F42" i="3"/>
  <c r="E42" i="3"/>
  <c r="F41" i="3"/>
  <c r="E41" i="3"/>
  <c r="F31" i="2"/>
  <c r="E31" i="2"/>
  <c r="F29" i="2"/>
  <c r="E29" i="2"/>
  <c r="E30" i="2"/>
  <c r="F30" i="2"/>
  <c r="E32" i="2"/>
  <c r="F32" i="2"/>
  <c r="E33" i="2"/>
  <c r="F33" i="2"/>
  <c r="E34" i="2"/>
  <c r="F34" i="2"/>
  <c r="F44" i="1"/>
  <c r="E44" i="1"/>
  <c r="F42" i="1"/>
  <c r="E42" i="1"/>
  <c r="H20" i="9"/>
  <c r="F12" i="4"/>
  <c r="E12" i="4"/>
  <c r="F11" i="4"/>
  <c r="E11" i="4"/>
  <c r="F9" i="4"/>
  <c r="E9" i="4"/>
  <c r="F8" i="4"/>
  <c r="E8" i="4"/>
  <c r="F7" i="4"/>
  <c r="E7" i="4"/>
  <c r="F6" i="4"/>
  <c r="E6" i="4"/>
  <c r="F50" i="3"/>
  <c r="E50" i="3"/>
  <c r="F49" i="3"/>
  <c r="E49" i="3"/>
  <c r="F48" i="3"/>
  <c r="E48" i="3"/>
  <c r="F47" i="3"/>
  <c r="E47" i="3"/>
  <c r="F45" i="3"/>
  <c r="E45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7" i="2"/>
  <c r="E57" i="2"/>
  <c r="F56" i="2"/>
  <c r="E56" i="2"/>
  <c r="F55" i="2"/>
  <c r="E55" i="2"/>
  <c r="F54" i="2"/>
  <c r="E54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B11" i="4"/>
  <c r="B8" i="4"/>
  <c r="B6" i="4"/>
  <c r="B6" i="3"/>
  <c r="B57" i="2"/>
  <c r="B56" i="2"/>
  <c r="B55" i="2"/>
  <c r="B54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0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75" i="1"/>
  <c r="B74" i="1"/>
  <c r="B73" i="1"/>
  <c r="B72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3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F75" i="1"/>
  <c r="E75" i="1"/>
  <c r="F74" i="1"/>
  <c r="E74" i="1"/>
  <c r="F73" i="1"/>
  <c r="E73" i="1"/>
  <c r="F72" i="1"/>
  <c r="E72" i="1"/>
  <c r="F70" i="1"/>
  <c r="E70" i="1"/>
  <c r="F69" i="1"/>
  <c r="E69" i="1"/>
  <c r="F68" i="1"/>
  <c r="E68" i="1"/>
  <c r="F67" i="1"/>
  <c r="E67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3" i="1"/>
  <c r="E43" i="1"/>
  <c r="F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E6" i="1"/>
  <c r="F6" i="1"/>
  <c r="K4" i="4" l="1"/>
  <c r="J4" i="4"/>
  <c r="I4" i="4"/>
  <c r="K4" i="3"/>
  <c r="J4" i="3"/>
  <c r="I4" i="3"/>
  <c r="K4" i="2"/>
  <c r="J4" i="2"/>
  <c r="I4" i="2"/>
  <c r="K4" i="1"/>
  <c r="J4" i="1"/>
  <c r="I4" i="1"/>
  <c r="B50" i="3"/>
  <c r="B49" i="3"/>
  <c r="B48" i="3"/>
  <c r="B47" i="3"/>
  <c r="B45" i="3"/>
  <c r="B43" i="3"/>
  <c r="B42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K4" i="9"/>
  <c r="J4" i="9"/>
  <c r="I4" i="9"/>
  <c r="C41" i="8"/>
  <c r="C40" i="8"/>
  <c r="K3" i="9" l="1"/>
  <c r="J3" i="9"/>
  <c r="I3" i="9"/>
  <c r="K3" i="4" l="1"/>
  <c r="J3" i="4"/>
  <c r="I3" i="4"/>
  <c r="K3" i="3"/>
  <c r="J3" i="3"/>
  <c r="I3" i="3"/>
  <c r="K3" i="2"/>
  <c r="J3" i="2"/>
  <c r="I3" i="2"/>
  <c r="C36" i="8"/>
  <c r="C19" i="8" l="1"/>
  <c r="C20" i="8"/>
  <c r="C21" i="8"/>
  <c r="C25" i="8"/>
  <c r="C26" i="8"/>
  <c r="C30" i="8"/>
  <c r="C31" i="8"/>
  <c r="C35" i="8"/>
  <c r="K3" i="1" l="1"/>
  <c r="J3" i="1"/>
  <c r="I3" i="1"/>
</calcChain>
</file>

<file path=xl/sharedStrings.xml><?xml version="1.0" encoding="utf-8"?>
<sst xmlns="http://schemas.openxmlformats.org/spreadsheetml/2006/main" count="5314" uniqueCount="671">
  <si>
    <t>max</t>
    <phoneticPr fontId="1" type="noConversion"/>
  </si>
  <si>
    <t>mon</t>
    <phoneticPr fontId="1" type="noConversion"/>
  </si>
  <si>
    <t>min</t>
    <phoneticPr fontId="1" type="noConversion"/>
  </si>
  <si>
    <t>STMR</t>
    <phoneticPr fontId="1" type="noConversion"/>
  </si>
  <si>
    <t>Delay</t>
    <phoneticPr fontId="1" type="noConversion"/>
  </si>
  <si>
    <t>nom</t>
    <phoneticPr fontId="1" type="noConversion"/>
  </si>
  <si>
    <t>Idle channel noise</t>
    <phoneticPr fontId="1" type="noConversion"/>
  </si>
  <si>
    <t>Sending (SLR)</t>
    <phoneticPr fontId="1" type="noConversion"/>
  </si>
  <si>
    <t>Receiving (RLR)</t>
    <phoneticPr fontId="1" type="noConversion"/>
  </si>
  <si>
    <t xml:space="preserve"> Sending</t>
    <phoneticPr fontId="1" type="noConversion"/>
  </si>
  <si>
    <t>Receiving</t>
    <phoneticPr fontId="1" type="noConversion"/>
  </si>
  <si>
    <t>Sending</t>
    <phoneticPr fontId="1" type="noConversion"/>
  </si>
  <si>
    <t>Sensitivity/frequency characteristics</t>
    <phoneticPr fontId="1" type="noConversion"/>
  </si>
  <si>
    <t>Sidetone characteristics</t>
    <phoneticPr fontId="1" type="noConversion"/>
  </si>
  <si>
    <t>Stability loss</t>
    <phoneticPr fontId="1" type="noConversion"/>
  </si>
  <si>
    <t>Acoustic echo control</t>
    <phoneticPr fontId="1" type="noConversion"/>
  </si>
  <si>
    <t>Echo Loss (TCLw)</t>
    <phoneticPr fontId="1" type="noConversion"/>
  </si>
  <si>
    <t>Distortion</t>
    <phoneticPr fontId="1" type="noConversion"/>
  </si>
  <si>
    <t>man</t>
    <phoneticPr fontId="1" type="noConversion"/>
  </si>
  <si>
    <t>TS+TR</t>
    <phoneticPr fontId="1" type="noConversion"/>
  </si>
  <si>
    <t>Echo control characteristics</t>
    <phoneticPr fontId="1" type="noConversion"/>
  </si>
  <si>
    <t>N/A</t>
    <phoneticPr fontId="1" type="noConversion"/>
  </si>
  <si>
    <t>Item</t>
    <phoneticPr fontId="1" type="noConversion"/>
  </si>
  <si>
    <t>Subitem</t>
    <phoneticPr fontId="1" type="noConversion"/>
  </si>
  <si>
    <t>Criteria</t>
    <phoneticPr fontId="1" type="noConversion"/>
  </si>
  <si>
    <t>GSM</t>
    <phoneticPr fontId="1" type="noConversion"/>
  </si>
  <si>
    <t>WCDMA</t>
    <phoneticPr fontId="1" type="noConversion"/>
  </si>
  <si>
    <t>CDMA</t>
    <phoneticPr fontId="1" type="noConversion"/>
  </si>
  <si>
    <t>VoLTE</t>
    <phoneticPr fontId="1" type="noConversion"/>
  </si>
  <si>
    <t>Pub</t>
    <phoneticPr fontId="1" type="noConversion"/>
  </si>
  <si>
    <t>Road</t>
    <phoneticPr fontId="1" type="noConversion"/>
  </si>
  <si>
    <t>Crossroads</t>
    <phoneticPr fontId="1" type="noConversion"/>
  </si>
  <si>
    <t>Car</t>
    <phoneticPr fontId="1" type="noConversion"/>
  </si>
  <si>
    <t>Cafeteria</t>
    <phoneticPr fontId="1" type="noConversion"/>
  </si>
  <si>
    <t>Mensa</t>
    <phoneticPr fontId="1" type="noConversion"/>
  </si>
  <si>
    <t>Callcenter</t>
    <phoneticPr fontId="1" type="noConversion"/>
  </si>
  <si>
    <t>Train</t>
    <phoneticPr fontId="1" type="noConversion"/>
  </si>
  <si>
    <t>S-MOS</t>
    <phoneticPr fontId="1" type="noConversion"/>
  </si>
  <si>
    <t>N-MOS</t>
    <phoneticPr fontId="1" type="noConversion"/>
  </si>
  <si>
    <t>G-MOS</t>
    <phoneticPr fontId="1" type="noConversion"/>
  </si>
  <si>
    <t>average</t>
    <phoneticPr fontId="1" type="noConversion"/>
  </si>
  <si>
    <t>AMR_NB</t>
    <phoneticPr fontId="1" type="noConversion"/>
  </si>
  <si>
    <t>EVS_NB</t>
    <phoneticPr fontId="1" type="noConversion"/>
  </si>
  <si>
    <t>AMR_WB</t>
    <phoneticPr fontId="1" type="noConversion"/>
  </si>
  <si>
    <t>SO73_WB</t>
    <phoneticPr fontId="1" type="noConversion"/>
  </si>
  <si>
    <t>EVS_WB</t>
    <phoneticPr fontId="1" type="noConversion"/>
  </si>
  <si>
    <t>Settings</t>
    <phoneticPr fontId="1" type="noConversion"/>
  </si>
  <si>
    <t>nom. Vol.</t>
    <phoneticPr fontId="1" type="noConversion"/>
  </si>
  <si>
    <t>unit</t>
    <phoneticPr fontId="1" type="noConversion"/>
  </si>
  <si>
    <t>dB</t>
    <phoneticPr fontId="1" type="noConversion"/>
  </si>
  <si>
    <t>dBm0p</t>
    <phoneticPr fontId="1" type="noConversion"/>
  </si>
  <si>
    <t>dBPa(A)</t>
    <phoneticPr fontId="1" type="noConversion"/>
  </si>
  <si>
    <t>ms</t>
    <phoneticPr fontId="1" type="noConversion"/>
  </si>
  <si>
    <t>EVS_SWB</t>
    <phoneticPr fontId="1" type="noConversion"/>
  </si>
  <si>
    <t>dB</t>
    <phoneticPr fontId="1" type="noConversion"/>
  </si>
  <si>
    <t>ms</t>
    <phoneticPr fontId="1" type="noConversion"/>
  </si>
  <si>
    <t>-20°up</t>
    <phoneticPr fontId="1" type="noConversion"/>
  </si>
  <si>
    <t>25°down</t>
    <phoneticPr fontId="1" type="noConversion"/>
  </si>
  <si>
    <t>10°out</t>
    <phoneticPr fontId="1" type="noConversion"/>
  </si>
  <si>
    <t>Sending (JLR)</t>
    <phoneticPr fontId="1" type="noConversion"/>
  </si>
  <si>
    <t>dB</t>
    <phoneticPr fontId="1" type="noConversion"/>
  </si>
  <si>
    <t>Reciving</t>
    <phoneticPr fontId="1" type="noConversion"/>
  </si>
  <si>
    <t>Reciving (JLR)</t>
    <phoneticPr fontId="1" type="noConversion"/>
  </si>
  <si>
    <t>Quality in the presence of ambient noise</t>
    <phoneticPr fontId="1" type="noConversion"/>
  </si>
  <si>
    <t>lower</t>
    <phoneticPr fontId="1" type="noConversion"/>
  </si>
  <si>
    <t>upper</t>
    <phoneticPr fontId="1" type="noConversion"/>
  </si>
  <si>
    <t>nom</t>
    <phoneticPr fontId="1" type="noConversion"/>
  </si>
  <si>
    <t>Round-trip</t>
    <phoneticPr fontId="1" type="noConversion"/>
  </si>
  <si>
    <t>Sidetone characteristics</t>
    <phoneticPr fontId="1" type="noConversion"/>
  </si>
  <si>
    <t>ECRP</t>
    <phoneticPr fontId="1" type="noConversion"/>
  </si>
  <si>
    <t>dB</t>
    <phoneticPr fontId="1" type="noConversion"/>
  </si>
  <si>
    <t>N/A</t>
    <phoneticPr fontId="1" type="noConversion"/>
  </si>
  <si>
    <t>dB</t>
    <phoneticPr fontId="1" type="noConversion"/>
  </si>
  <si>
    <t>Test Condition</t>
    <phoneticPr fontId="1" type="noConversion"/>
  </si>
  <si>
    <t>max vol.</t>
  </si>
  <si>
    <t>max-2 vol.</t>
  </si>
  <si>
    <t>mon. vol.</t>
  </si>
  <si>
    <t>man. vol.</t>
  </si>
  <si>
    <t>max-1 vol.</t>
    <phoneticPr fontId="1" type="noConversion"/>
  </si>
  <si>
    <t>max-3 vol.</t>
    <phoneticPr fontId="1" type="noConversion"/>
  </si>
  <si>
    <t>max-5 vol.</t>
    <phoneticPr fontId="1" type="noConversion"/>
  </si>
  <si>
    <t>max-6 vol.</t>
    <phoneticPr fontId="1" type="noConversion"/>
  </si>
  <si>
    <t>max-7 (min) vol.</t>
    <phoneticPr fontId="1" type="noConversion"/>
  </si>
  <si>
    <t>max-4 (nom) vol.</t>
    <phoneticPr fontId="1" type="noConversion"/>
  </si>
  <si>
    <t>max vol.</t>
    <phoneticPr fontId="1" type="noConversion"/>
  </si>
  <si>
    <t>nom vol.</t>
  </si>
  <si>
    <t>nom vol.</t>
    <phoneticPr fontId="1" type="noConversion"/>
  </si>
  <si>
    <t>min vol.</t>
  </si>
  <si>
    <t>max-1 vol.</t>
  </si>
  <si>
    <t>max-3 vol.</t>
  </si>
  <si>
    <t>max-4 (nom) vol.</t>
  </si>
  <si>
    <t>max-5 vol.</t>
  </si>
  <si>
    <t>max-6 vol.</t>
  </si>
  <si>
    <t>max-7 (min) vol.</t>
  </si>
  <si>
    <t>type</t>
    <phoneticPr fontId="1" type="noConversion"/>
  </si>
  <si>
    <t>max-4 vol.</t>
    <phoneticPr fontId="1" type="noConversion"/>
  </si>
  <si>
    <t>max-3 (nom) vol.</t>
    <phoneticPr fontId="1" type="noConversion"/>
  </si>
  <si>
    <t>Headset</t>
    <phoneticPr fontId="1" type="noConversion"/>
  </si>
  <si>
    <t>Date</t>
    <phoneticPr fontId="1" type="noConversion"/>
  </si>
  <si>
    <t>Version</t>
    <phoneticPr fontId="1" type="noConversion"/>
  </si>
  <si>
    <t>Editor</t>
    <phoneticPr fontId="1" type="noConversion"/>
  </si>
  <si>
    <t>Change</t>
    <phoneticPr fontId="1" type="noConversion"/>
  </si>
  <si>
    <t>v1.2.0</t>
    <phoneticPr fontId="1" type="noConversion"/>
  </si>
  <si>
    <t>v1.2.1</t>
    <phoneticPr fontId="1" type="noConversion"/>
  </si>
  <si>
    <t>v1.3.0</t>
    <phoneticPr fontId="1" type="noConversion"/>
  </si>
  <si>
    <t>Handset</t>
    <phoneticPr fontId="1" type="noConversion"/>
  </si>
  <si>
    <t>v1.0.0</t>
    <phoneticPr fontId="1" type="noConversion"/>
  </si>
  <si>
    <t>VoIP</t>
    <phoneticPr fontId="1" type="noConversion"/>
  </si>
  <si>
    <t>WB</t>
    <phoneticPr fontId="1" type="noConversion"/>
  </si>
  <si>
    <t>v1.4.0</t>
    <phoneticPr fontId="1" type="noConversion"/>
  </si>
  <si>
    <t>POLQA MOS</t>
    <phoneticPr fontId="1" type="noConversion"/>
  </si>
  <si>
    <t>Vocoder_Bandwidth</t>
    <phoneticPr fontId="1" type="noConversion"/>
  </si>
  <si>
    <t>SND Robustness with noise
(source: GaussWhite 82dBspl@MRP)</t>
    <phoneticPr fontId="1" type="noConversion"/>
  </si>
  <si>
    <t>VoNR</t>
    <phoneticPr fontId="1" type="noConversion"/>
  </si>
  <si>
    <t>VoWiFi</t>
    <phoneticPr fontId="1" type="noConversion"/>
  </si>
  <si>
    <t>VoLTE</t>
  </si>
  <si>
    <t>&gt; Initial release</t>
    <phoneticPr fontId="1" type="noConversion"/>
  </si>
  <si>
    <t>&gt; Unify NB and WB standard
&gt; Add Volume Step test
&gt; Unify Distortion test volume requirement
&gt; Delete Delay Impairments test for Handset and Headset
&gt; Add 3Quest test for Headset</t>
    <phoneticPr fontId="1" type="noConversion"/>
  </si>
  <si>
    <t>&gt; Fix nom vol to max-3 for Handsfree</t>
    <phoneticPr fontId="1" type="noConversion"/>
  </si>
  <si>
    <t>&gt; Add 3pcs list for Handset and Handsfree and cancel volume steps for other 2pcs
&gt; Change STMR criteria type to 2 for Handset
&gt; Change Track ID conditional formatting</t>
    <phoneticPr fontId="1" type="noConversion"/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</si>
  <si>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  <phoneticPr fontId="1" type="noConversion"/>
  </si>
  <si>
    <t>Overall loss/loudness ratings</t>
    <phoneticPr fontId="1" type="noConversion"/>
  </si>
  <si>
    <t>Standard</t>
    <phoneticPr fontId="1" type="noConversion"/>
  </si>
  <si>
    <t>· Select or input the design information of the device into the Basic Info form. (Input the product name and Track ID for Motorola devices into Module Number cell.)</t>
    <phoneticPr fontId="1" type="noConversion"/>
  </si>
  <si>
    <r>
      <t xml:space="preserve">· Mark the cells of Report Files to </t>
    </r>
    <r>
      <rPr>
        <b/>
        <sz val="10"/>
        <color theme="9"/>
        <rFont val="Arial"/>
        <family val="2"/>
      </rPr>
      <t>Green</t>
    </r>
    <r>
      <rPr>
        <b/>
        <sz val="10"/>
        <color theme="1"/>
        <rFont val="Arial"/>
        <family val="2"/>
      </rPr>
      <t xml:space="preserve"> if completed the test and saved the required result files, mark it to </t>
    </r>
    <r>
      <rPr>
        <b/>
        <sz val="10"/>
        <color theme="7"/>
        <rFont val="Arial"/>
        <family val="2"/>
      </rPr>
      <t>Yellow</t>
    </r>
    <r>
      <rPr>
        <b/>
        <sz val="10"/>
        <color theme="1"/>
        <rFont val="Arial"/>
        <family val="2"/>
      </rPr>
      <t xml:space="preserve"> if something miss, mark it to </t>
    </r>
    <r>
      <rPr>
        <b/>
        <sz val="10"/>
        <color rgb="FFFF0000"/>
        <rFont val="Arial"/>
        <family val="2"/>
      </rPr>
      <t>Red</t>
    </r>
    <r>
      <rPr>
        <b/>
        <sz val="10"/>
        <color theme="1"/>
        <rFont val="Arial"/>
        <family val="2"/>
      </rPr>
      <t xml:space="preserve"> if miss the test.</t>
    </r>
    <phoneticPr fontId="1" type="noConversion"/>
  </si>
  <si>
    <t>Basic Info</t>
    <phoneticPr fontId="1" type="noConversion"/>
  </si>
  <si>
    <t>Value</t>
    <phoneticPr fontId="4" type="noConversion"/>
  </si>
  <si>
    <t>Hardware Version</t>
    <phoneticPr fontId="1" type="noConversion"/>
  </si>
  <si>
    <t>Test Case</t>
    <phoneticPr fontId="1" type="noConversion"/>
  </si>
  <si>
    <t>Report Files</t>
    <phoneticPr fontId="1" type="noConversion"/>
  </si>
  <si>
    <t>Naming Rule</t>
    <phoneticPr fontId="1" type="noConversion"/>
  </si>
  <si>
    <t>Voice Tuning Checklist</t>
    <phoneticPr fontId="4" type="noConversion"/>
  </si>
  <si>
    <t>Handsfree</t>
    <phoneticPr fontId="1" type="noConversion"/>
  </si>
  <si>
    <t>Test Network</t>
    <phoneticPr fontId="1" type="noConversion"/>
  </si>
  <si>
    <t>3GPP TS126.132</t>
    <phoneticPr fontId="1" type="noConversion"/>
  </si>
  <si>
    <t>doc</t>
    <phoneticPr fontId="4" type="noConversion"/>
  </si>
  <si>
    <t>Bluetooth</t>
    <phoneticPr fontId="1" type="noConversion"/>
  </si>
  <si>
    <t>v2.0.0</t>
    <phoneticPr fontId="1" type="noConversion"/>
  </si>
  <si>
    <t>Control Values</t>
    <phoneticPr fontId="1" type="noConversion"/>
  </si>
  <si>
    <t>SO73_NB</t>
    <phoneticPr fontId="1" type="noConversion"/>
  </si>
  <si>
    <t>SWB</t>
    <phoneticPr fontId="1" type="noConversion"/>
  </si>
  <si>
    <t>SO68_NB</t>
    <phoneticPr fontId="1" type="noConversion"/>
  </si>
  <si>
    <t>SO3_NB</t>
    <phoneticPr fontId="1" type="noConversion"/>
  </si>
  <si>
    <t>N/A</t>
  </si>
  <si>
    <t>mask</t>
  </si>
  <si>
    <t>Receiveing</t>
    <phoneticPr fontId="1" type="noConversion"/>
  </si>
  <si>
    <t>max. vol.</t>
    <phoneticPr fontId="1" type="noConversion"/>
  </si>
  <si>
    <t>nom. vol.</t>
    <phoneticPr fontId="1" type="noConversion"/>
  </si>
  <si>
    <t>min. vol.</t>
    <phoneticPr fontId="1" type="noConversion"/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</si>
  <si>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  <phoneticPr fontId="1" type="noConversion"/>
  </si>
  <si>
    <t>RLR in noise</t>
    <phoneticPr fontId="1" type="noConversion"/>
  </si>
  <si>
    <t>Acoustic TRD</t>
    <phoneticPr fontId="1" type="noConversion"/>
  </si>
  <si>
    <t>Receiving</t>
  </si>
  <si>
    <t>dB</t>
  </si>
  <si>
    <t>v2.1.0</t>
    <phoneticPr fontId="1" type="noConversion"/>
  </si>
  <si>
    <t>Serial Number</t>
    <phoneticPr fontId="1" type="noConversion"/>
  </si>
  <si>
    <t>Model Number</t>
    <phoneticPr fontId="1" type="noConversion"/>
  </si>
  <si>
    <t>Build Number</t>
    <phoneticPr fontId="1" type="noConversion"/>
  </si>
  <si>
    <t>&gt; Add RX double talk test item and fix standard description
&gt; Separate info for 3 samples and fix the keys</t>
    <phoneticPr fontId="1" type="noConversion"/>
  </si>
  <si>
    <t>v2.1.1</t>
    <phoneticPr fontId="1" type="noConversion"/>
  </si>
  <si>
    <t>&gt; Change Headset volume step max -7~-3, min 18~24</t>
    <phoneticPr fontId="1" type="noConversion"/>
  </si>
  <si>
    <t>v3.0.0</t>
    <phoneticPr fontId="1" type="noConversion"/>
  </si>
  <si>
    <t>&gt; Add Electrical Interface Checklist based on P.381
&gt; Adjust TOSQA and POLQA limit</t>
    <phoneticPr fontId="1" type="noConversion"/>
  </si>
  <si>
    <t>Electrical Interface</t>
    <phoneticPr fontId="1" type="noConversion"/>
  </si>
  <si>
    <t>×</t>
  </si>
  <si>
    <t>×</t>
    <phoneticPr fontId="1" type="noConversion"/>
  </si>
  <si>
    <t>v3.0.1</t>
    <phoneticPr fontId="1" type="noConversion"/>
  </si>
  <si>
    <t>&gt; Remove checklist filter</t>
    <phoneticPr fontId="1" type="noConversion"/>
  </si>
  <si>
    <t>v3.1.0</t>
    <phoneticPr fontId="1" type="noConversion"/>
  </si>
  <si>
    <t>Huhao3</t>
  </si>
  <si>
    <t>Huhao3</t>
    <phoneticPr fontId="1" type="noConversion"/>
  </si>
  <si>
    <t>Puzhe1</t>
    <phoneticPr fontId="1" type="noConversion"/>
  </si>
  <si>
    <t>Short DT Class</t>
    <phoneticPr fontId="1" type="noConversion"/>
  </si>
  <si>
    <t>A1 + A2</t>
    <phoneticPr fontId="1" type="noConversion"/>
  </si>
  <si>
    <t>Short ST Class</t>
    <phoneticPr fontId="1" type="noConversion"/>
  </si>
  <si>
    <t>Long DT Class</t>
    <phoneticPr fontId="1" type="noConversion"/>
  </si>
  <si>
    <t>Long ST Class</t>
    <phoneticPr fontId="1" type="noConversion"/>
  </si>
  <si>
    <t>×</t>
    <phoneticPr fontId="1" type="noConversion"/>
  </si>
  <si>
    <t>N/A</t>
    <phoneticPr fontId="1" type="noConversion"/>
  </si>
  <si>
    <t>Delay</t>
    <phoneticPr fontId="1" type="noConversion"/>
  </si>
  <si>
    <t>UMTS AMR_NB</t>
    <phoneticPr fontId="1" type="noConversion"/>
  </si>
  <si>
    <t>UMTS AMR_WB</t>
    <phoneticPr fontId="1" type="noConversion"/>
  </si>
  <si>
    <t>VoIMS AMR_NB</t>
    <phoneticPr fontId="1" type="noConversion"/>
  </si>
  <si>
    <t>VoIMS AMR_WB</t>
    <phoneticPr fontId="1" type="noConversion"/>
  </si>
  <si>
    <t>VoIMS EVS_NB</t>
    <phoneticPr fontId="1" type="noConversion"/>
  </si>
  <si>
    <t>VoIMS EVS_WB</t>
    <phoneticPr fontId="1" type="noConversion"/>
  </si>
  <si>
    <t>VoIMS EVS_SWB</t>
    <phoneticPr fontId="1" type="noConversion"/>
  </si>
  <si>
    <t>CDMA SO3_NB</t>
    <phoneticPr fontId="1" type="noConversion"/>
  </si>
  <si>
    <t>CDMA SO68_NB</t>
    <phoneticPr fontId="1" type="noConversion"/>
  </si>
  <si>
    <t>CDMA SO73_NB</t>
    <phoneticPr fontId="1" type="noConversion"/>
  </si>
  <si>
    <t>CDMA SO73_WB</t>
    <phoneticPr fontId="1" type="noConversion"/>
  </si>
  <si>
    <t>VoIP WB</t>
    <phoneticPr fontId="1" type="noConversion"/>
  </si>
  <si>
    <t>VoIP SWB</t>
    <phoneticPr fontId="1" type="noConversion"/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</si>
  <si>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  <phoneticPr fontId="1" type="noConversion"/>
  </si>
  <si>
    <t>AMR_NB</t>
    <phoneticPr fontId="1" type="noConversion"/>
  </si>
  <si>
    <t>AMR_WB</t>
    <phoneticPr fontId="1" type="noConversion"/>
  </si>
  <si>
    <t>CDMA_NB</t>
    <phoneticPr fontId="1" type="noConversion"/>
  </si>
  <si>
    <t>CDMA_WB</t>
    <phoneticPr fontId="1" type="noConversion"/>
  </si>
  <si>
    <t>EVS_NB</t>
    <phoneticPr fontId="1" type="noConversion"/>
  </si>
  <si>
    <t>EVS_WB</t>
    <phoneticPr fontId="1" type="noConversion"/>
  </si>
  <si>
    <t>EVS_SWB</t>
    <phoneticPr fontId="1" type="noConversion"/>
  </si>
  <si>
    <t>VoIP_WB</t>
    <phoneticPr fontId="1" type="noConversion"/>
  </si>
  <si>
    <t>VoIP_SWB</t>
    <phoneticPr fontId="1" type="noConversion"/>
  </si>
  <si>
    <t>4.75k/bits</t>
    <phoneticPr fontId="1" type="noConversion"/>
  </si>
  <si>
    <t>12.2kbit/s</t>
    <phoneticPr fontId="1" type="noConversion"/>
  </si>
  <si>
    <t>6.6k/bits</t>
    <phoneticPr fontId="1" type="noConversion"/>
  </si>
  <si>
    <t>12.65k/bits</t>
    <phoneticPr fontId="1" type="noConversion"/>
  </si>
  <si>
    <t>23.85k/bits</t>
    <phoneticPr fontId="1" type="noConversion"/>
  </si>
  <si>
    <t>5.9k/bits</t>
    <phoneticPr fontId="1" type="noConversion"/>
  </si>
  <si>
    <t>9.6k/bits</t>
    <phoneticPr fontId="1" type="noConversion"/>
  </si>
  <si>
    <t>13.2k/bits</t>
    <phoneticPr fontId="1" type="noConversion"/>
  </si>
  <si>
    <t>24.4k/bits</t>
    <phoneticPr fontId="1" type="noConversion"/>
  </si>
  <si>
    <t>128k/bits</t>
    <phoneticPr fontId="1" type="noConversion"/>
  </si>
  <si>
    <t>COP4</t>
    <phoneticPr fontId="1" type="noConversion"/>
  </si>
  <si>
    <t>COP0</t>
    <phoneticPr fontId="1" type="noConversion"/>
  </si>
  <si>
    <t>SIP_WB</t>
    <phoneticPr fontId="1" type="noConversion"/>
  </si>
  <si>
    <t>SIP_SWB</t>
    <phoneticPr fontId="1" type="noConversion"/>
  </si>
  <si>
    <t>Bitrates</t>
    <phoneticPr fontId="1" type="noConversion"/>
  </si>
  <si>
    <t>InterfaceTypes</t>
    <phoneticPr fontId="1" type="noConversion"/>
  </si>
  <si>
    <t>Networks</t>
    <phoneticPr fontId="1" type="noConversion"/>
  </si>
  <si>
    <t>EVB</t>
    <phoneticPr fontId="1" type="noConversion"/>
  </si>
  <si>
    <t>EVT</t>
    <phoneticPr fontId="1" type="noConversion"/>
  </si>
  <si>
    <t>DVT1</t>
    <phoneticPr fontId="1" type="noConversion"/>
  </si>
  <si>
    <t>DVT2</t>
    <phoneticPr fontId="1" type="noConversion"/>
  </si>
  <si>
    <t>PVT</t>
    <phoneticPr fontId="1" type="noConversion"/>
  </si>
  <si>
    <t>MP</t>
    <phoneticPr fontId="1" type="noConversion"/>
  </si>
  <si>
    <t>HardwareVersions</t>
    <phoneticPr fontId="1" type="noConversion"/>
  </si>
  <si>
    <r>
      <t>POLQA v3.0 (MOS-LQO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2"/>
        <charset val="134"/>
        <scheme val="minor"/>
      </rPr>
      <t>)
(English, 4×8s Seq., Fullband mode)</t>
    </r>
    <phoneticPr fontId="1" type="noConversion"/>
  </si>
  <si>
    <r>
      <t>POLQA v3.0 (MOS-LQO</t>
    </r>
    <r>
      <rPr>
        <vertAlign val="subscript"/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等线"/>
        <family val="3"/>
        <charset val="134"/>
        <scheme val="minor"/>
      </rPr>
      <t>)
(English, 4×8s Seq., Fullband mode)</t>
    </r>
    <phoneticPr fontId="1" type="noConversion"/>
  </si>
  <si>
    <t>v3.2.0</t>
    <phoneticPr fontId="1" type="noConversion"/>
  </si>
  <si>
    <t>SND 1020Hz</t>
    <phoneticPr fontId="1" type="noConversion"/>
  </si>
  <si>
    <t>RCV 1020Hz</t>
    <phoneticPr fontId="1" type="noConversion"/>
  </si>
  <si>
    <t>RCV -16dBm0</t>
    <phoneticPr fontId="1" type="noConversion"/>
  </si>
  <si>
    <t>SND -4.7dBPa</t>
    <phoneticPr fontId="1" type="noConversion"/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</si>
  <si>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  <phoneticPr fontId="1" type="noConversion"/>
  </si>
  <si>
    <t>MH191</t>
    <phoneticPr fontId="1" type="noConversion"/>
  </si>
  <si>
    <t>MI181</t>
    <phoneticPr fontId="1" type="noConversion"/>
  </si>
  <si>
    <t>MI181C</t>
    <phoneticPr fontId="1" type="noConversion"/>
  </si>
  <si>
    <t>MD211</t>
    <phoneticPr fontId="1" type="noConversion"/>
  </si>
  <si>
    <t>Headset Interface</t>
    <phoneticPr fontId="1" type="noConversion"/>
  </si>
  <si>
    <t>v3.2.1</t>
    <phoneticPr fontId="1" type="noConversion"/>
  </si>
  <si>
    <t>&gt; Add type selection for Headset</t>
    <phoneticPr fontId="1" type="noConversion"/>
  </si>
  <si>
    <t>NB SNB</t>
  </si>
  <si>
    <t>NB RCV</t>
  </si>
  <si>
    <t>WB SND</t>
  </si>
  <si>
    <t>WB RCV</t>
  </si>
  <si>
    <t>SWB SND</t>
  </si>
  <si>
    <t>SWB RCV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</si>
  <si>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</si>
  <si>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</si>
  <si>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</si>
  <si>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</si>
  <si>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</si>
  <si>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</si>
  <si>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t>CH1=-90dB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</si>
  <si>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</si>
  <si>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</si>
  <si>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</si>
  <si>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</si>
  <si>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</si>
  <si>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</si>
  <si>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</si>
  <si>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</si>
  <si>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</si>
  <si>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</si>
  <si>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</si>
  <si>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</si>
  <si>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</si>
  <si>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sp2s_be4x2_fb_sr60.dat</t>
  </si>
  <si>
    <t>CH2=-90dB</t>
  </si>
  <si>
    <t>HIB Gain</t>
    <phoneticPr fontId="1" type="noConversion"/>
  </si>
  <si>
    <t>output=0dB</t>
    <phoneticPr fontId="1" type="noConversion"/>
  </si>
  <si>
    <t>sp2s_be4x2_fb_sr147.dat</t>
    <phoneticPr fontId="1" type="noConversion"/>
  </si>
  <si>
    <t>output=-40dB</t>
    <phoneticPr fontId="1" type="noConversion"/>
  </si>
  <si>
    <t>Help Document</t>
    <phoneticPr fontId="4" type="noConversion"/>
  </si>
  <si>
    <r>
      <t>CH1=10dB</t>
    </r>
    <r>
      <rPr>
        <sz val="11"/>
        <color rgb="FF000000"/>
        <rFont val="等线"/>
        <family val="3"/>
        <charset val="134"/>
      </rPr>
      <t>，</t>
    </r>
    <r>
      <rPr>
        <sz val="11"/>
        <color rgb="FF000000"/>
        <rFont val="Arial"/>
        <family val="2"/>
      </rPr>
      <t>CH2=-90dB</t>
    </r>
  </si>
  <si>
    <r>
      <t>CH1=-5.3dB</t>
    </r>
    <r>
      <rPr>
        <sz val="11"/>
        <color rgb="FF000000"/>
        <rFont val="等线"/>
        <family val="3"/>
        <charset val="134"/>
      </rPr>
      <t>，</t>
    </r>
    <r>
      <rPr>
        <sz val="11"/>
        <color rgb="FF000000"/>
        <rFont val="Arial"/>
        <family val="2"/>
      </rPr>
      <t>CH2=-90dB</t>
    </r>
    <phoneticPr fontId="1" type="noConversion"/>
  </si>
  <si>
    <t>v3.2.2</t>
    <phoneticPr fontId="1" type="noConversion"/>
  </si>
  <si>
    <t>&gt; Add Help page for POLQA Config</t>
    <phoneticPr fontId="1" type="noConversion"/>
  </si>
  <si>
    <t>Single Frequency</t>
  </si>
  <si>
    <t>Single Frequency</t>
    <phoneticPr fontId="1" type="noConversion"/>
  </si>
  <si>
    <t>dBm0p</t>
  </si>
  <si>
    <t>v3.3.0</t>
    <phoneticPr fontId="1" type="noConversion"/>
  </si>
  <si>
    <t>dBPa(A)</t>
  </si>
  <si>
    <t>&gt; Separate the test values of single frequency disturbances of Idle noise</t>
    <phoneticPr fontId="1" type="noConversion"/>
  </si>
  <si>
    <t>sp2s_be4x2_fb_sr182.dat</t>
    <phoneticPr fontId="1" type="noConversion"/>
  </si>
  <si>
    <t>v3.3.1</t>
    <phoneticPr fontId="1" type="noConversion"/>
  </si>
  <si>
    <t>&gt; Fix the POLQA ref description in Help</t>
    <phoneticPr fontId="1" type="noConversion"/>
  </si>
  <si>
    <t>CH2=-90dB</t>
    <phoneticPr fontId="1" type="noConversion"/>
  </si>
  <si>
    <t>POLQA Config for Voice</t>
    <phoneticPr fontId="1" type="noConversion"/>
  </si>
  <si>
    <t>Handset / Handsfree / Headset</t>
    <phoneticPr fontId="1" type="noConversion"/>
  </si>
  <si>
    <t>Common</t>
    <phoneticPr fontId="1" type="noConversion"/>
  </si>
  <si>
    <t>v3.4.0</t>
    <phoneticPr fontId="1" type="noConversion"/>
  </si>
  <si>
    <t>&gt; Remove the standard decription for Bluetooth
&gt; Organize the Help doc for POLQA and add config for Bluetooth</t>
    <phoneticPr fontId="1" type="noConversion"/>
  </si>
  <si>
    <t>v3.4.1</t>
    <phoneticPr fontId="1" type="noConversion"/>
  </si>
  <si>
    <t>12.2kbit/s</t>
  </si>
  <si>
    <t>&gt; Fix the limit search for CDMA and VoIP
&gt; Add ECC criteria</t>
    <phoneticPr fontId="1" type="noConversion"/>
  </si>
  <si>
    <t>v4.0.0</t>
    <phoneticPr fontId="1" type="noConversion"/>
  </si>
  <si>
    <t>Robustaness</t>
    <phoneticPr fontId="1" type="noConversion"/>
  </si>
  <si>
    <t>P.381</t>
    <phoneticPr fontId="1" type="noConversion"/>
  </si>
  <si>
    <t>Meet (Google Duo)</t>
    <phoneticPr fontId="1" type="noConversion"/>
  </si>
  <si>
    <t>Idle channel noise</t>
  </si>
  <si>
    <t>5.3.3</t>
  </si>
  <si>
    <t>5.3.3</t>
    <phoneticPr fontId="1" type="noConversion"/>
  </si>
  <si>
    <t>Sending (SJLR)</t>
    <phoneticPr fontId="1" type="noConversion"/>
  </si>
  <si>
    <t>Receving (RJLR)</t>
    <phoneticPr fontId="1" type="noConversion"/>
  </si>
  <si>
    <t>7.2.6.1</t>
  </si>
  <si>
    <t>7.2.6.1</t>
    <phoneticPr fontId="1" type="noConversion"/>
  </si>
  <si>
    <t>7.2.6.2</t>
  </si>
  <si>
    <t>7.2.6.2</t>
    <phoneticPr fontId="1" type="noConversion"/>
  </si>
  <si>
    <t>max vol.</t>
    <phoneticPr fontId="1" type="noConversion"/>
  </si>
  <si>
    <t>3GPP TS126.132 Digital</t>
    <phoneticPr fontId="1" type="noConversion"/>
  </si>
  <si>
    <t>N/A</t>
    <phoneticPr fontId="1" type="noConversion"/>
  </si>
  <si>
    <t xml:space="preserve"> Sending</t>
  </si>
  <si>
    <t>dBV(A)</t>
  </si>
  <si>
    <t>dBV(A)</t>
    <phoneticPr fontId="1" type="noConversion"/>
  </si>
  <si>
    <t>dBm0(A)</t>
  </si>
  <si>
    <t>dBm0(A)</t>
    <phoneticPr fontId="1" type="noConversion"/>
  </si>
  <si>
    <t>7.4.7</t>
  </si>
  <si>
    <t>7.4.7</t>
    <phoneticPr fontId="1" type="noConversion"/>
  </si>
  <si>
    <t>7.4.8</t>
  </si>
  <si>
    <t>7.4.8</t>
    <phoneticPr fontId="1" type="noConversion"/>
  </si>
  <si>
    <t>mask</t>
    <phoneticPr fontId="1" type="noConversion"/>
  </si>
  <si>
    <t>5.4.7</t>
    <phoneticPr fontId="1" type="noConversion"/>
  </si>
  <si>
    <t>7.7.5</t>
    <phoneticPr fontId="1" type="noConversion"/>
  </si>
  <si>
    <t>any vol.</t>
    <phoneticPr fontId="1" type="noConversion"/>
  </si>
  <si>
    <t>6.3.4</t>
    <phoneticPr fontId="1" type="noConversion"/>
  </si>
  <si>
    <t>6.4.7</t>
    <phoneticPr fontId="1" type="noConversion"/>
  </si>
  <si>
    <t>6.4.8</t>
    <phoneticPr fontId="1" type="noConversion"/>
  </si>
  <si>
    <t>5.2.6.1</t>
    <phoneticPr fontId="1" type="noConversion"/>
  </si>
  <si>
    <t>5.2.6.2</t>
    <phoneticPr fontId="1" type="noConversion"/>
  </si>
  <si>
    <t>5.3.4</t>
    <phoneticPr fontId="1" type="noConversion"/>
  </si>
  <si>
    <t>5.4.8</t>
    <phoneticPr fontId="1" type="noConversion"/>
  </si>
  <si>
    <t>5.7.6</t>
    <phoneticPr fontId="1" type="noConversion"/>
  </si>
  <si>
    <t>5.8.3</t>
  </si>
  <si>
    <t>5.8.3</t>
    <phoneticPr fontId="1" type="noConversion"/>
  </si>
  <si>
    <t>5.8.4</t>
    <phoneticPr fontId="1" type="noConversion"/>
  </si>
  <si>
    <t>7.3.3</t>
  </si>
  <si>
    <t>7.3.3</t>
    <phoneticPr fontId="1" type="noConversion"/>
  </si>
  <si>
    <t>7.3.4</t>
  </si>
  <si>
    <t>7.3.4</t>
    <phoneticPr fontId="1" type="noConversion"/>
  </si>
  <si>
    <t>7.8.1</t>
  </si>
  <si>
    <t>7.8.2</t>
    <phoneticPr fontId="1" type="noConversion"/>
  </si>
  <si>
    <t>5.12.3</t>
    <phoneticPr fontId="1" type="noConversion"/>
  </si>
  <si>
    <t>%</t>
  </si>
  <si>
    <t>%</t>
    <phoneticPr fontId="1" type="noConversion"/>
  </si>
  <si>
    <t>Send speech quality and noise intrusiveness in the presence of ambient noise</t>
    <phoneticPr fontId="1" type="noConversion"/>
  </si>
  <si>
    <t>7.12.3</t>
  </si>
  <si>
    <t>7.12.3</t>
    <phoneticPr fontId="1" type="noConversion"/>
  </si>
  <si>
    <t>5.11.4</t>
  </si>
  <si>
    <t>5.11.4</t>
    <phoneticPr fontId="1" type="noConversion"/>
  </si>
  <si>
    <t>8.2.6.1</t>
    <phoneticPr fontId="1" type="noConversion"/>
  </si>
  <si>
    <t>8.2.6.2</t>
    <phoneticPr fontId="1" type="noConversion"/>
  </si>
  <si>
    <t>8.3.3</t>
    <phoneticPr fontId="1" type="noConversion"/>
  </si>
  <si>
    <t>8.3.4</t>
    <phoneticPr fontId="1" type="noConversion"/>
  </si>
  <si>
    <t>8.4.7</t>
    <phoneticPr fontId="1" type="noConversion"/>
  </si>
  <si>
    <t>8.4.8</t>
    <phoneticPr fontId="1" type="noConversion"/>
  </si>
  <si>
    <t>8.7.5</t>
  </si>
  <si>
    <t>8.7.5</t>
    <phoneticPr fontId="1" type="noConversion"/>
  </si>
  <si>
    <t>8.8.1</t>
  </si>
  <si>
    <t>8.8.1</t>
    <phoneticPr fontId="1" type="noConversion"/>
  </si>
  <si>
    <t>8.8.2</t>
    <phoneticPr fontId="1" type="noConversion"/>
  </si>
  <si>
    <t>8.12.3</t>
    <phoneticPr fontId="1" type="noConversion"/>
  </si>
  <si>
    <t>9.2.6.1</t>
    <phoneticPr fontId="1" type="noConversion"/>
  </si>
  <si>
    <t>9.2.6.2</t>
    <phoneticPr fontId="1" type="noConversion"/>
  </si>
  <si>
    <t>9.3.3</t>
    <phoneticPr fontId="1" type="noConversion"/>
  </si>
  <si>
    <t>9.8.1</t>
  </si>
  <si>
    <t>9.3.4</t>
    <phoneticPr fontId="1" type="noConversion"/>
  </si>
  <si>
    <t>9.4.7</t>
    <phoneticPr fontId="1" type="noConversion"/>
  </si>
  <si>
    <t>9.4.8</t>
    <phoneticPr fontId="1" type="noConversion"/>
  </si>
  <si>
    <t>9.7.5</t>
    <phoneticPr fontId="1" type="noConversion"/>
  </si>
  <si>
    <t>9.8.1</t>
    <phoneticPr fontId="1" type="noConversion"/>
  </si>
  <si>
    <t>9.8.2</t>
    <phoneticPr fontId="1" type="noConversion"/>
  </si>
  <si>
    <t>9.12.3</t>
    <phoneticPr fontId="1" type="noConversion"/>
  </si>
  <si>
    <t>NB</t>
    <phoneticPr fontId="1" type="noConversion"/>
  </si>
  <si>
    <t>SND -60dBV</t>
    <phoneticPr fontId="1" type="noConversion"/>
  </si>
  <si>
    <t>6.2.6.1</t>
  </si>
  <si>
    <t>6.2.6.1</t>
    <phoneticPr fontId="1" type="noConversion"/>
  </si>
  <si>
    <t>6.2.6.2</t>
  </si>
  <si>
    <t>6.2.6.2</t>
    <phoneticPr fontId="1" type="noConversion"/>
  </si>
  <si>
    <t>6.7.6</t>
  </si>
  <si>
    <t>6.7.6</t>
    <phoneticPr fontId="1" type="noConversion"/>
  </si>
  <si>
    <t>6.8.3</t>
  </si>
  <si>
    <t>6.8.3</t>
    <phoneticPr fontId="1" type="noConversion"/>
  </si>
  <si>
    <t>6.8.4</t>
  </si>
  <si>
    <t>6.8.4</t>
    <phoneticPr fontId="1" type="noConversion"/>
  </si>
  <si>
    <t>6.10.4</t>
  </si>
  <si>
    <t>6.10.4</t>
    <phoneticPr fontId="1" type="noConversion"/>
  </si>
  <si>
    <t>6.11.3</t>
    <phoneticPr fontId="1" type="noConversion"/>
  </si>
  <si>
    <t>SND -16dBm0</t>
    <phoneticPr fontId="1" type="noConversion"/>
  </si>
  <si>
    <t>3.5mm Analog + USB-C Digital</t>
    <phoneticPr fontId="1" type="noConversion"/>
  </si>
  <si>
    <t>USB-C Analog + Digital</t>
    <phoneticPr fontId="1" type="noConversion"/>
  </si>
  <si>
    <t>USB-C Digital only</t>
    <phoneticPr fontId="1" type="noConversion"/>
  </si>
  <si>
    <t>6.3.3</t>
    <phoneticPr fontId="1" type="noConversion"/>
  </si>
  <si>
    <t>7.7.6</t>
  </si>
  <si>
    <t>7.7.6</t>
    <phoneticPr fontId="1" type="noConversion"/>
  </si>
  <si>
    <t>7.8.3</t>
  </si>
  <si>
    <t>7.8.4</t>
  </si>
  <si>
    <t>7.8.3</t>
    <phoneticPr fontId="1" type="noConversion"/>
  </si>
  <si>
    <t>7.10.4</t>
  </si>
  <si>
    <t>7.10.4</t>
    <phoneticPr fontId="1" type="noConversion"/>
  </si>
  <si>
    <t>7.11.3</t>
  </si>
  <si>
    <t>7.11.3</t>
    <phoneticPr fontId="1" type="noConversion"/>
  </si>
  <si>
    <t>7.12.5</t>
  </si>
  <si>
    <t>7.12.5</t>
    <phoneticPr fontId="1" type="noConversion"/>
  </si>
  <si>
    <t>6.12.5</t>
  </si>
  <si>
    <t>6.12.5</t>
    <phoneticPr fontId="1" type="noConversion"/>
  </si>
  <si>
    <t>5.13.5</t>
  </si>
  <si>
    <t>5.13.5</t>
    <phoneticPr fontId="1" type="noConversion"/>
  </si>
  <si>
    <t>3GPP TS126.131/132</t>
  </si>
  <si>
    <t>3GPP TS126.131/132</t>
    <phoneticPr fontId="1" type="noConversion"/>
  </si>
  <si>
    <t>3GPP TS126.131/132</t>
    <phoneticPr fontId="1" type="noConversion"/>
  </si>
  <si>
    <t>doc</t>
  </si>
  <si>
    <t>Headset</t>
    <phoneticPr fontId="1" type="noConversion"/>
  </si>
  <si>
    <t>Network</t>
    <phoneticPr fontId="1" type="noConversion"/>
  </si>
  <si>
    <t>Vocoder</t>
    <phoneticPr fontId="1" type="noConversion"/>
  </si>
  <si>
    <t>Bitrate</t>
    <phoneticPr fontId="1" type="noConversion"/>
  </si>
  <si>
    <t>Type</t>
    <phoneticPr fontId="1" type="noConversion"/>
  </si>
  <si>
    <t>Adapter</t>
    <phoneticPr fontId="1" type="noConversion"/>
  </si>
  <si>
    <t>7.2.2.1</t>
  </si>
  <si>
    <t>7.2.2.1</t>
    <phoneticPr fontId="1" type="noConversion"/>
  </si>
  <si>
    <t>8.2.2.1</t>
  </si>
  <si>
    <t>8.2.2.1</t>
    <phoneticPr fontId="1" type="noConversion"/>
  </si>
  <si>
    <t>7.2.2.2</t>
  </si>
  <si>
    <t>7.2.2.2</t>
    <phoneticPr fontId="1" type="noConversion"/>
  </si>
  <si>
    <t>8.2.2.2</t>
  </si>
  <si>
    <t>8.2.2.2</t>
    <phoneticPr fontId="1" type="noConversion"/>
  </si>
  <si>
    <t>8.3.1</t>
  </si>
  <si>
    <t>8.3.1</t>
    <phoneticPr fontId="1" type="noConversion"/>
  </si>
  <si>
    <t>7.3.1</t>
  </si>
  <si>
    <t>7.3.1</t>
    <phoneticPr fontId="1" type="noConversion"/>
  </si>
  <si>
    <t>8.3.2</t>
  </si>
  <si>
    <t>8.3.2</t>
    <phoneticPr fontId="1" type="noConversion"/>
  </si>
  <si>
    <t>7.3.2</t>
  </si>
  <si>
    <t>7.3.2</t>
    <phoneticPr fontId="1" type="noConversion"/>
  </si>
  <si>
    <t>RLR in noise</t>
    <phoneticPr fontId="1" type="noConversion"/>
  </si>
  <si>
    <t>7.2.2.3</t>
  </si>
  <si>
    <t>7.2.2.3</t>
    <phoneticPr fontId="1" type="noConversion"/>
  </si>
  <si>
    <t>7.4.1</t>
  </si>
  <si>
    <t>7.4.1</t>
    <phoneticPr fontId="1" type="noConversion"/>
  </si>
  <si>
    <t>7.4.2</t>
  </si>
  <si>
    <t>7.4.2</t>
    <phoneticPr fontId="1" type="noConversion"/>
  </si>
  <si>
    <t>7.5.2</t>
    <phoneticPr fontId="1" type="noConversion"/>
  </si>
  <si>
    <t>7.5.4</t>
    <phoneticPr fontId="1" type="noConversion"/>
  </si>
  <si>
    <t>7.7.4</t>
  </si>
  <si>
    <t>7.7.4</t>
    <phoneticPr fontId="1" type="noConversion"/>
  </si>
  <si>
    <t>7.8.1</t>
    <phoneticPr fontId="1" type="noConversion"/>
  </si>
  <si>
    <t>7.8.2</t>
  </si>
  <si>
    <t>7.8.2</t>
    <phoneticPr fontId="1" type="noConversion"/>
  </si>
  <si>
    <t>7.10</t>
  </si>
  <si>
    <t>7.10</t>
    <phoneticPr fontId="1" type="noConversion"/>
  </si>
  <si>
    <t>7.10</t>
    <phoneticPr fontId="1" type="noConversion"/>
  </si>
  <si>
    <t>8.10</t>
  </si>
  <si>
    <t>8.10</t>
    <phoneticPr fontId="1" type="noConversion"/>
  </si>
  <si>
    <t>9.10</t>
  </si>
  <si>
    <t>9.10</t>
    <phoneticPr fontId="1" type="noConversion"/>
  </si>
  <si>
    <t>P.863</t>
  </si>
  <si>
    <t>8.2.2.3</t>
  </si>
  <si>
    <t>8.2.2.3</t>
    <phoneticPr fontId="1" type="noConversion"/>
  </si>
  <si>
    <t>8.2.4.2</t>
  </si>
  <si>
    <t>8.4.2</t>
  </si>
  <si>
    <t>8.4.2</t>
    <phoneticPr fontId="1" type="noConversion"/>
  </si>
  <si>
    <t>8.8.2</t>
  </si>
  <si>
    <t>8.4.1</t>
  </si>
  <si>
    <t>8.4.1</t>
    <phoneticPr fontId="1" type="noConversion"/>
  </si>
  <si>
    <t>8.5.1</t>
  </si>
  <si>
    <t>8.5.2</t>
    <phoneticPr fontId="1" type="noConversion"/>
  </si>
  <si>
    <t>8.5.4</t>
    <phoneticPr fontId="1" type="noConversion"/>
  </si>
  <si>
    <t>8.6</t>
    <phoneticPr fontId="1" type="noConversion"/>
  </si>
  <si>
    <t>8.7.4</t>
    <phoneticPr fontId="1" type="noConversion"/>
  </si>
  <si>
    <t>8.8.1</t>
    <phoneticPr fontId="1" type="noConversion"/>
  </si>
  <si>
    <t>8.8.2</t>
    <phoneticPr fontId="1" type="noConversion"/>
  </si>
  <si>
    <t>8.11</t>
  </si>
  <si>
    <t>8.11</t>
    <phoneticPr fontId="1" type="noConversion"/>
  </si>
  <si>
    <t>8.10</t>
    <phoneticPr fontId="1" type="noConversion"/>
  </si>
  <si>
    <t>9.2.2.1</t>
  </si>
  <si>
    <t>9.2.2.1</t>
    <phoneticPr fontId="1" type="noConversion"/>
  </si>
  <si>
    <t>9.2.2.2</t>
  </si>
  <si>
    <t>9.2.2.3</t>
  </si>
  <si>
    <t>9.2.4.2</t>
  </si>
  <si>
    <t>9.2.2.2</t>
    <phoneticPr fontId="1" type="noConversion"/>
  </si>
  <si>
    <t>9.2.2.3</t>
    <phoneticPr fontId="1" type="noConversion"/>
  </si>
  <si>
    <t>9.3.1</t>
  </si>
  <si>
    <t>9.3.1</t>
    <phoneticPr fontId="1" type="noConversion"/>
  </si>
  <si>
    <t>9.3.2</t>
  </si>
  <si>
    <t>9.3.2</t>
    <phoneticPr fontId="1" type="noConversion"/>
  </si>
  <si>
    <t>9.4.1</t>
  </si>
  <si>
    <t>9.4.1</t>
    <phoneticPr fontId="1" type="noConversion"/>
  </si>
  <si>
    <t>9.4.2</t>
  </si>
  <si>
    <t>9.4.2</t>
    <phoneticPr fontId="1" type="noConversion"/>
  </si>
  <si>
    <t>9.5.2</t>
    <phoneticPr fontId="1" type="noConversion"/>
  </si>
  <si>
    <t>9.5.4</t>
    <phoneticPr fontId="1" type="noConversion"/>
  </si>
  <si>
    <t>9.6</t>
    <phoneticPr fontId="1" type="noConversion"/>
  </si>
  <si>
    <t>9.7.4</t>
    <phoneticPr fontId="1" type="noConversion"/>
  </si>
  <si>
    <t>9.8.1</t>
    <phoneticPr fontId="1" type="noConversion"/>
  </si>
  <si>
    <t>9.8.2</t>
  </si>
  <si>
    <t>9.8.2</t>
    <phoneticPr fontId="1" type="noConversion"/>
  </si>
  <si>
    <t>9.10</t>
    <phoneticPr fontId="1" type="noConversion"/>
  </si>
  <si>
    <t>9.11</t>
  </si>
  <si>
    <t>9.11</t>
    <phoneticPr fontId="1" type="noConversion"/>
  </si>
  <si>
    <t>5.2.5</t>
  </si>
  <si>
    <t>5.2.5</t>
    <phoneticPr fontId="1" type="noConversion"/>
  </si>
  <si>
    <t>5.2.5a</t>
    <phoneticPr fontId="1" type="noConversion"/>
  </si>
  <si>
    <t>5.3.1</t>
    <phoneticPr fontId="1" type="noConversion"/>
  </si>
  <si>
    <t>5.8.1</t>
  </si>
  <si>
    <t>5.8.2</t>
  </si>
  <si>
    <t>5.3.2</t>
    <phoneticPr fontId="1" type="noConversion"/>
  </si>
  <si>
    <t>5.4.1</t>
    <phoneticPr fontId="1" type="noConversion"/>
  </si>
  <si>
    <t>5.4.2</t>
    <phoneticPr fontId="1" type="noConversion"/>
  </si>
  <si>
    <t>5.5.1</t>
    <phoneticPr fontId="1" type="noConversion"/>
  </si>
  <si>
    <t>5.5.2</t>
    <phoneticPr fontId="1" type="noConversion"/>
  </si>
  <si>
    <t>7.7.2</t>
  </si>
  <si>
    <t>5.7.5</t>
    <phoneticPr fontId="1" type="noConversion"/>
  </si>
  <si>
    <t>5.6</t>
    <phoneticPr fontId="1" type="noConversion"/>
  </si>
  <si>
    <t>5.8.1</t>
    <phoneticPr fontId="1" type="noConversion"/>
  </si>
  <si>
    <t>×</t>
    <phoneticPr fontId="1" type="noConversion"/>
  </si>
  <si>
    <t>5.8.2</t>
    <phoneticPr fontId="1" type="noConversion"/>
  </si>
  <si>
    <t>5.12.2.1</t>
    <phoneticPr fontId="1" type="noConversion"/>
  </si>
  <si>
    <t>5.13.2</t>
    <phoneticPr fontId="1" type="noConversion"/>
  </si>
  <si>
    <t>6.2.5</t>
    <phoneticPr fontId="1" type="noConversion"/>
  </si>
  <si>
    <t>6.2.5a</t>
    <phoneticPr fontId="1" type="noConversion"/>
  </si>
  <si>
    <t>6.3.1</t>
    <phoneticPr fontId="1" type="noConversion"/>
  </si>
  <si>
    <t>6.8.1</t>
  </si>
  <si>
    <t>6.8.2</t>
  </si>
  <si>
    <t>6.3.2</t>
    <phoneticPr fontId="1" type="noConversion"/>
  </si>
  <si>
    <t>6.4.1</t>
    <phoneticPr fontId="1" type="noConversion"/>
  </si>
  <si>
    <t>6.4.2</t>
    <phoneticPr fontId="1" type="noConversion"/>
  </si>
  <si>
    <t>6.5.1</t>
    <phoneticPr fontId="1" type="noConversion"/>
  </si>
  <si>
    <t>6.5.2</t>
    <phoneticPr fontId="1" type="noConversion"/>
  </si>
  <si>
    <t>6.6</t>
    <phoneticPr fontId="1" type="noConversion"/>
  </si>
  <si>
    <t>6.7.5</t>
    <phoneticPr fontId="1" type="noConversion"/>
  </si>
  <si>
    <t>6.8.1</t>
    <phoneticPr fontId="1" type="noConversion"/>
  </si>
  <si>
    <t>6.8.2</t>
    <phoneticPr fontId="1" type="noConversion"/>
  </si>
  <si>
    <t>6.11.2.1</t>
    <phoneticPr fontId="1" type="noConversion"/>
  </si>
  <si>
    <t>6.12.2</t>
    <phoneticPr fontId="1" type="noConversion"/>
  </si>
  <si>
    <t>7.2.5</t>
  </si>
  <si>
    <t>7.2.5</t>
    <phoneticPr fontId="1" type="noConversion"/>
  </si>
  <si>
    <t>7.2.5a</t>
    <phoneticPr fontId="1" type="noConversion"/>
  </si>
  <si>
    <t>7.4.6</t>
  </si>
  <si>
    <t>7.4.2.1</t>
    <phoneticPr fontId="1" type="noConversion"/>
  </si>
  <si>
    <t>7.5.1</t>
  </si>
  <si>
    <t>7.5.1</t>
    <phoneticPr fontId="1" type="noConversion"/>
  </si>
  <si>
    <t>7.6</t>
    <phoneticPr fontId="1" type="noConversion"/>
  </si>
  <si>
    <t>7.7.5</t>
    <phoneticPr fontId="1" type="noConversion"/>
  </si>
  <si>
    <t>7.11.2.1</t>
    <phoneticPr fontId="1" type="noConversion"/>
  </si>
  <si>
    <t>7.12.2</t>
  </si>
  <si>
    <t>7.12.2</t>
    <phoneticPr fontId="1" type="noConversion"/>
  </si>
  <si>
    <t>USB-C Analog + Digital</t>
  </si>
  <si>
    <t>5.2.2</t>
    <phoneticPr fontId="1" type="noConversion"/>
  </si>
  <si>
    <t>5.2.2a</t>
    <phoneticPr fontId="1" type="noConversion"/>
  </si>
  <si>
    <t>5.7.4</t>
    <phoneticPr fontId="1" type="noConversion"/>
  </si>
  <si>
    <t>5.12.1</t>
    <phoneticPr fontId="1" type="noConversion"/>
  </si>
  <si>
    <t>5.13.1</t>
    <phoneticPr fontId="1" type="noConversion"/>
  </si>
  <si>
    <t>P.863</t>
    <phoneticPr fontId="1" type="noConversion"/>
  </si>
  <si>
    <t>6.2.2</t>
    <phoneticPr fontId="1" type="noConversion"/>
  </si>
  <si>
    <t>6.12.1</t>
  </si>
  <si>
    <t>6.2.2a</t>
    <phoneticPr fontId="1" type="noConversion"/>
  </si>
  <si>
    <t>6.2.4</t>
  </si>
  <si>
    <t>6.7.4</t>
    <phoneticPr fontId="1" type="noConversion"/>
  </si>
  <si>
    <t>6.11.1</t>
    <phoneticPr fontId="1" type="noConversion"/>
  </si>
  <si>
    <t>6.12.1</t>
    <phoneticPr fontId="1" type="noConversion"/>
  </si>
  <si>
    <t>7.2.2</t>
    <phoneticPr fontId="1" type="noConversion"/>
  </si>
  <si>
    <t>7.12.1</t>
  </si>
  <si>
    <t>7.2.2a</t>
    <phoneticPr fontId="1" type="noConversion"/>
  </si>
  <si>
    <t>7.2.4</t>
  </si>
  <si>
    <t>nom vol. 1/3Oct</t>
    <phoneticPr fontId="1" type="noConversion"/>
  </si>
  <si>
    <t>nom vol. 1/12Oct</t>
    <phoneticPr fontId="1" type="noConversion"/>
  </si>
  <si>
    <t>N/A</t>
    <phoneticPr fontId="1" type="noConversion"/>
  </si>
  <si>
    <t>7.10.2</t>
  </si>
  <si>
    <t>7.10.2</t>
    <phoneticPr fontId="1" type="noConversion"/>
  </si>
  <si>
    <t>5.11.2</t>
  </si>
  <si>
    <t>5.11.2</t>
    <phoneticPr fontId="1" type="noConversion"/>
  </si>
  <si>
    <t>6.10.2</t>
  </si>
  <si>
    <t>6.10.2</t>
    <phoneticPr fontId="1" type="noConversion"/>
  </si>
  <si>
    <t>7.11.1</t>
    <phoneticPr fontId="1" type="noConversion"/>
  </si>
  <si>
    <t>7.12.1</t>
    <phoneticPr fontId="1" type="noConversion"/>
  </si>
  <si>
    <t>7.7.3</t>
  </si>
  <si>
    <t>7.7.3</t>
    <phoneticPr fontId="1" type="noConversion"/>
  </si>
  <si>
    <t>7.11</t>
  </si>
  <si>
    <t>7.11</t>
    <phoneticPr fontId="1" type="noConversion"/>
  </si>
  <si>
    <t>8.5.1</t>
    <phoneticPr fontId="1" type="noConversion"/>
  </si>
  <si>
    <t>8.7.3</t>
  </si>
  <si>
    <t>8.12.1</t>
  </si>
  <si>
    <t>8.7.3</t>
    <phoneticPr fontId="1" type="noConversion"/>
  </si>
  <si>
    <t>8.12.1</t>
    <phoneticPr fontId="1" type="noConversion"/>
  </si>
  <si>
    <t>9.5.1</t>
  </si>
  <si>
    <t>9.5.1</t>
    <phoneticPr fontId="1" type="noConversion"/>
  </si>
  <si>
    <t>9.7.3</t>
  </si>
  <si>
    <t>9.12.1</t>
  </si>
  <si>
    <t>9.7.3</t>
    <phoneticPr fontId="1" type="noConversion"/>
  </si>
  <si>
    <t>9.12.1</t>
    <phoneticPr fontId="1" type="noConversion"/>
  </si>
  <si>
    <t>Audio Big Rules</t>
    <phoneticPr fontId="1" type="noConversion"/>
  </si>
  <si>
    <t>BigRules</t>
  </si>
  <si>
    <t>BigRules</t>
    <phoneticPr fontId="1" type="noConversion"/>
  </si>
  <si>
    <t>5.2.4</t>
  </si>
  <si>
    <t>5.2.4</t>
    <phoneticPr fontId="1" type="noConversion"/>
  </si>
  <si>
    <t>5.4.5</t>
    <phoneticPr fontId="1" type="noConversion"/>
  </si>
  <si>
    <t>5.4.6</t>
  </si>
  <si>
    <t>5.4.6</t>
    <phoneticPr fontId="1" type="noConversion"/>
  </si>
  <si>
    <t>5.7.3</t>
  </si>
  <si>
    <t>5.7.3</t>
    <phoneticPr fontId="1" type="noConversion"/>
  </si>
  <si>
    <t>5.11.3</t>
  </si>
  <si>
    <t>5.11.3</t>
    <phoneticPr fontId="1" type="noConversion"/>
  </si>
  <si>
    <t>5.13.3</t>
  </si>
  <si>
    <t>5.13.3</t>
    <phoneticPr fontId="1" type="noConversion"/>
  </si>
  <si>
    <t>6.2.4</t>
    <phoneticPr fontId="1" type="noConversion"/>
  </si>
  <si>
    <t>6.4.6</t>
  </si>
  <si>
    <t>6.7.3</t>
  </si>
  <si>
    <t>6.4.5</t>
    <phoneticPr fontId="1" type="noConversion"/>
  </si>
  <si>
    <t>6.4.6</t>
    <phoneticPr fontId="1" type="noConversion"/>
  </si>
  <si>
    <t>6.7.3</t>
    <phoneticPr fontId="1" type="noConversion"/>
  </si>
  <si>
    <t>6.10.3</t>
  </si>
  <si>
    <t>6.10.3</t>
    <phoneticPr fontId="1" type="noConversion"/>
  </si>
  <si>
    <t>6.12.3</t>
  </si>
  <si>
    <t>6.12.3</t>
    <phoneticPr fontId="1" type="noConversion"/>
  </si>
  <si>
    <t>7.2.4</t>
    <phoneticPr fontId="1" type="noConversion"/>
  </si>
  <si>
    <t>7.4.6</t>
    <phoneticPr fontId="1" type="noConversion"/>
  </si>
  <si>
    <t>7.4.5</t>
    <phoneticPr fontId="1" type="noConversion"/>
  </si>
  <si>
    <t>7.10.3</t>
  </si>
  <si>
    <t>7.10.3</t>
    <phoneticPr fontId="1" type="noConversion"/>
  </si>
  <si>
    <t>7.12.3</t>
    <phoneticPr fontId="1" type="noConversion"/>
  </si>
  <si>
    <t>7.2.4.1</t>
    <phoneticPr fontId="1" type="noConversion"/>
  </si>
  <si>
    <t>7.2.4.2</t>
  </si>
  <si>
    <t>7.2.4.2</t>
    <phoneticPr fontId="1" type="noConversion"/>
  </si>
  <si>
    <t>7.7.2</t>
    <phoneticPr fontId="1" type="noConversion"/>
  </si>
  <si>
    <t>8.2.4.1</t>
    <phoneticPr fontId="1" type="noConversion"/>
  </si>
  <si>
    <t>8.2.4.2</t>
    <phoneticPr fontId="1" type="noConversion"/>
  </si>
  <si>
    <t>8.4.5</t>
    <phoneticPr fontId="1" type="noConversion"/>
  </si>
  <si>
    <t>8.4.6</t>
    <phoneticPr fontId="1" type="noConversion"/>
  </si>
  <si>
    <t>8.7.2</t>
    <phoneticPr fontId="1" type="noConversion"/>
  </si>
  <si>
    <t>8.12.2</t>
    <phoneticPr fontId="1" type="noConversion"/>
  </si>
  <si>
    <t>9.2.4.1</t>
    <phoneticPr fontId="1" type="noConversion"/>
  </si>
  <si>
    <t>9.2.4.2</t>
    <phoneticPr fontId="1" type="noConversion"/>
  </si>
  <si>
    <t>9.4.5</t>
    <phoneticPr fontId="1" type="noConversion"/>
  </si>
  <si>
    <t>9.4.6</t>
  </si>
  <si>
    <t>9.4.6</t>
    <phoneticPr fontId="1" type="noConversion"/>
  </si>
  <si>
    <t>9.7.2</t>
    <phoneticPr fontId="1" type="noConversion"/>
  </si>
  <si>
    <t>9.12.2</t>
    <phoneticPr fontId="1" type="noConversion"/>
  </si>
  <si>
    <t>CVSD</t>
  </si>
  <si>
    <t>CVSD</t>
    <phoneticPr fontId="1" type="noConversion"/>
  </si>
  <si>
    <t>mSBC</t>
  </si>
  <si>
    <t>mSBC</t>
    <phoneticPr fontId="1" type="noConversion"/>
  </si>
  <si>
    <t>LC3</t>
  </si>
  <si>
    <t>LC3</t>
    <phoneticPr fontId="1" type="noConversion"/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</si>
  <si>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  <phoneticPr fontId="1" type="noConversion"/>
  </si>
  <si>
    <t>Electrical Interface Analog (labCore)</t>
    <phoneticPr fontId="1" type="noConversion"/>
  </si>
  <si>
    <t>Electrical Interface Analog (MFE VI)</t>
    <phoneticPr fontId="1" type="noConversion"/>
  </si>
  <si>
    <t>Bluetooth / Electrical Interface Digital</t>
    <phoneticPr fontId="1" type="noConversion"/>
  </si>
  <si>
    <t>v5.0.0</t>
    <phoneticPr fontId="1" type="noConversion"/>
  </si>
  <si>
    <t>Teams</t>
  </si>
  <si>
    <t>WeChat</t>
  </si>
  <si>
    <t>&gt; Sync the version ref MOTO test package
&gt; Adjust the RJLR limit for EID
&gt; Separate EIA and EID in Help page
&gt; Change the HA sidetone lower limit as 3GPP
&gt; Remove Meet from WB vocoder</t>
    <phoneticPr fontId="1" type="noConversion"/>
  </si>
  <si>
    <t>AMR_NB</t>
  </si>
  <si>
    <t>v5.0.1</t>
    <phoneticPr fontId="1" type="noConversion"/>
  </si>
  <si>
    <t>&gt; Remove the requirement for EI in AMR_WB vocoder</t>
    <phoneticPr fontId="1" type="noConversion"/>
  </si>
  <si>
    <t>A1 + A2</t>
  </si>
  <si>
    <t>A1 + A2</t>
    <phoneticPr fontId="1" type="noConversion"/>
  </si>
  <si>
    <t>A1</t>
  </si>
  <si>
    <t>A1</t>
    <phoneticPr fontId="1" type="noConversion"/>
  </si>
  <si>
    <t>5.13.1</t>
  </si>
  <si>
    <t>v5.0.2</t>
    <phoneticPr fontId="1" type="noConversion"/>
  </si>
  <si>
    <t>A1</t>
    <phoneticPr fontId="1" type="noConversion"/>
  </si>
  <si>
    <t>5.13.2</t>
  </si>
  <si>
    <t>6.12.2</t>
  </si>
  <si>
    <t>Voice Tuning Checklist - Electrical Interface Analogue</t>
    <phoneticPr fontId="4" type="noConversion"/>
  </si>
  <si>
    <t>Voice Tuning Checklist - Electrical Interface Digital</t>
    <phoneticPr fontId="4" type="noConversion"/>
  </si>
  <si>
    <t>Voice Tuning Checklist - Handset</t>
    <phoneticPr fontId="4" type="noConversion"/>
  </si>
  <si>
    <t>Voice Tuning Checklist - Handsfree</t>
    <phoneticPr fontId="4" type="noConversion"/>
  </si>
  <si>
    <t>Voice Tuning Checklist - Headset</t>
    <phoneticPr fontId="4" type="noConversion"/>
  </si>
  <si>
    <t>&gt; Add Row for ECC DT A1 data and add limit for EI ECC
&gt; Separate EI to EIA and EID, remove test for P.381 and add POLQA test for EI
&gt; Add InternalReview page for KPI calculation</t>
    <phoneticPr fontId="1" type="noConversion"/>
  </si>
  <si>
    <t>Voice Tuning Checklist - Bluetooth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</si>
</sst>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u/>
      <sz val="16"/>
      <color rgb="FF0000FF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6"/>
      <color rgb="FF0000FF"/>
      <name val="Calibri"/>
      <family val="2"/>
    </font>
    <font>
      <b/>
      <sz val="10"/>
      <color theme="1"/>
      <name val="Arial"/>
      <family val="2"/>
    </font>
    <font>
      <b/>
      <sz val="10"/>
      <color theme="9"/>
      <name val="Arial"/>
      <family val="2"/>
    </font>
    <font>
      <b/>
      <sz val="10"/>
      <color theme="7"/>
      <name val="Arial"/>
      <family val="2"/>
    </font>
    <font>
      <b/>
      <sz val="10"/>
      <name val="Arial"/>
      <family val="2"/>
    </font>
    <font>
      <b/>
      <sz val="11"/>
      <color theme="8"/>
      <name val="Arial Rounded MT Bold"/>
      <family val="2"/>
    </font>
    <font>
      <vertAlign val="subscript"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1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49" fontId="6" fillId="2" borderId="1" xfId="0" applyNumberFormat="1" applyFont="1" applyFill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left" vertical="center" wrapText="1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0" xfId="0" applyNumberFormat="1" applyFont="1" applyAlignment="1" applyProtection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0" fontId="3" fillId="0" borderId="0" xfId="0" applyFont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49" fontId="5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0" borderId="14" xfId="0" applyFont="1" applyFill="1" applyBorder="1" applyAlignment="1" applyProtection="1">
      <alignment horizontal="center" vertical="center"/>
      <protection hidden="1"/>
    </xf>
    <xf numFmtId="0" fontId="5" fillId="0" borderId="15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2" fillId="3" borderId="25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0" fillId="2" borderId="12" xfId="0" applyFill="1" applyBorder="1" applyAlignment="1" applyProtection="1">
      <alignment horizontal="center" vertical="center"/>
      <protection hidden="1"/>
    </xf>
    <xf numFmtId="0" fontId="0" fillId="2" borderId="15" xfId="0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2" fillId="3" borderId="14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alignment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7" fillId="0" borderId="0" xfId="0" applyFont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6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left" vertical="center"/>
      <protection hidden="1"/>
    </xf>
    <xf numFmtId="0" fontId="7" fillId="2" borderId="11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left"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2" borderId="11" xfId="0" applyFont="1" applyFill="1" applyBorder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2" borderId="13" xfId="0" applyFont="1" applyFill="1" applyBorder="1" applyProtection="1">
      <alignment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alignment vertical="center"/>
      <protection hidden="1"/>
    </xf>
    <xf numFmtId="0" fontId="10" fillId="3" borderId="19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0" borderId="12" xfId="0" applyFont="1" applyFill="1" applyBorder="1" applyAlignment="1" applyProtection="1">
      <alignment horizontal="center" vertical="center"/>
      <protection hidden="1"/>
    </xf>
    <xf numFmtId="0" fontId="7" fillId="2" borderId="41" xfId="0" applyFont="1" applyFill="1" applyBorder="1" applyAlignment="1" applyProtection="1">
      <alignment horizontal="left" vertical="center"/>
      <protection hidden="1"/>
    </xf>
    <xf numFmtId="0" fontId="7" fillId="0" borderId="40" xfId="0" applyFont="1" applyFill="1" applyBorder="1" applyAlignment="1" applyProtection="1">
      <alignment horizontal="center" vertical="center"/>
      <protection hidden="1"/>
    </xf>
    <xf numFmtId="0" fontId="7" fillId="0" borderId="39" xfId="0" applyFon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3" fillId="0" borderId="0" xfId="0" applyFont="1" applyProtection="1">
      <alignment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0" fillId="2" borderId="11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42" xfId="0" applyFill="1" applyBorder="1" applyAlignment="1" applyProtection="1">
      <alignment horizontal="center" vertical="center"/>
      <protection hidden="1"/>
    </xf>
    <xf numFmtId="0" fontId="0" fillId="2" borderId="43" xfId="0" applyFill="1" applyBorder="1" applyAlignment="1" applyProtection="1">
      <alignment horizontal="center" vertical="center"/>
      <protection hidden="1"/>
    </xf>
    <xf numFmtId="0" fontId="0" fillId="2" borderId="44" xfId="0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vertical="center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14" xfId="0" applyFont="1" applyFill="1" applyBorder="1" applyAlignment="1" applyProtection="1">
      <alignment vertic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42" xfId="0" applyFont="1" applyFill="1" applyBorder="1" applyProtection="1">
      <alignment vertical="center"/>
      <protection hidden="1"/>
    </xf>
    <xf numFmtId="0" fontId="7" fillId="2" borderId="43" xfId="0" applyFont="1" applyFill="1" applyBorder="1" applyProtection="1">
      <alignment vertical="center"/>
      <protection hidden="1"/>
    </xf>
    <xf numFmtId="0" fontId="7" fillId="2" borderId="44" xfId="0" applyFont="1" applyFill="1" applyBorder="1" applyProtection="1">
      <alignment vertical="center"/>
      <protection hidden="1"/>
    </xf>
    <xf numFmtId="0" fontId="5" fillId="2" borderId="1" xfId="0" quotePrefix="1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7" fillId="2" borderId="12" xfId="0" applyFont="1" applyFill="1" applyBorder="1" applyProtection="1">
      <alignment vertical="center"/>
      <protection hidden="1"/>
    </xf>
    <xf numFmtId="0" fontId="7" fillId="2" borderId="11" xfId="0" applyFont="1" applyFill="1" applyBorder="1" applyAlignment="1" applyProtection="1">
      <alignment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8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1" xfId="0" applyFont="1" applyFill="1" applyBorder="1" applyAlignment="1" applyProtection="1">
      <alignment horizontal="left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7" fillId="2" borderId="42" xfId="0" applyFont="1" applyFill="1" applyBorder="1" applyAlignment="1" applyProtection="1">
      <alignment horizontal="left" vertical="center"/>
      <protection hidden="1"/>
    </xf>
    <xf numFmtId="0" fontId="7" fillId="0" borderId="43" xfId="0" applyFont="1" applyFill="1" applyBorder="1" applyAlignment="1" applyProtection="1">
      <alignment horizontal="center" vertical="center"/>
      <protection hidden="1"/>
    </xf>
    <xf numFmtId="0" fontId="7" fillId="0" borderId="44" xfId="0" applyFont="1" applyFill="1" applyBorder="1" applyAlignment="1" applyProtection="1">
      <alignment horizontal="center" vertical="center"/>
      <protection hidden="1"/>
    </xf>
    <xf numFmtId="0" fontId="7" fillId="2" borderId="16" xfId="0" applyFont="1" applyFill="1" applyBorder="1" applyAlignment="1" applyProtection="1">
      <alignment horizontal="left" vertical="center"/>
      <protection hidden="1"/>
    </xf>
    <xf numFmtId="0" fontId="7" fillId="0" borderId="52" xfId="0" applyFont="1" applyFill="1" applyBorder="1" applyAlignment="1" applyProtection="1">
      <alignment horizontal="center" vertical="center"/>
      <protection hidden="1"/>
    </xf>
    <xf numFmtId="0" fontId="10" fillId="3" borderId="51" xfId="0" applyFont="1" applyFill="1" applyBorder="1" applyAlignment="1" applyProtection="1">
      <alignment horizontal="center" vertical="center"/>
      <protection hidden="1"/>
    </xf>
    <xf numFmtId="0" fontId="7" fillId="0" borderId="17" xfId="0" applyFont="1" applyFill="1" applyBorder="1" applyAlignment="1" applyProtection="1">
      <alignment horizontal="center" vertical="center"/>
      <protection hidden="1"/>
    </xf>
    <xf numFmtId="49" fontId="0" fillId="2" borderId="11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12" xfId="0" applyNumberFormat="1" applyFill="1" applyBorder="1" applyAlignment="1" applyProtection="1">
      <alignment horizontal="center" vertical="center"/>
      <protection hidden="1"/>
    </xf>
    <xf numFmtId="49" fontId="0" fillId="2" borderId="13" xfId="0" applyNumberFormat="1" applyFill="1" applyBorder="1" applyAlignment="1" applyProtection="1">
      <alignment horizontal="center" vertical="center"/>
      <protection hidden="1"/>
    </xf>
    <xf numFmtId="49" fontId="0" fillId="2" borderId="14" xfId="0" applyNumberFormat="1" applyFill="1" applyBorder="1" applyAlignment="1" applyProtection="1">
      <alignment horizontal="center" vertical="center"/>
      <protection hidden="1"/>
    </xf>
    <xf numFmtId="49" fontId="0" fillId="2" borderId="15" xfId="0" applyNumberFormat="1" applyFill="1" applyBorder="1" applyAlignment="1" applyProtection="1">
      <alignment horizontal="center" vertical="center"/>
      <protection hidden="1"/>
    </xf>
    <xf numFmtId="49" fontId="0" fillId="2" borderId="42" xfId="0" applyNumberFormat="1" applyFill="1" applyBorder="1" applyAlignment="1" applyProtection="1">
      <alignment horizontal="center" vertical="center"/>
      <protection hidden="1"/>
    </xf>
    <xf numFmtId="49" fontId="0" fillId="2" borderId="43" xfId="0" applyNumberFormat="1" applyFill="1" applyBorder="1" applyAlignment="1" applyProtection="1">
      <alignment horizontal="center" vertical="center"/>
      <protection hidden="1"/>
    </xf>
    <xf numFmtId="49" fontId="0" fillId="2" borderId="44" xfId="0" applyNumberFormat="1" applyFill="1" applyBorder="1" applyAlignment="1" applyProtection="1">
      <alignment horizontal="center"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177" fontId="5" fillId="0" borderId="2" xfId="0" applyNumberFormat="1" applyFont="1" applyBorder="1" applyAlignment="1" applyProtection="1">
      <alignment horizontal="center" vertical="center"/>
      <protection hidden="1"/>
    </xf>
    <xf numFmtId="177" fontId="5" fillId="0" borderId="10" xfId="0" applyNumberFormat="1" applyFont="1" applyBorder="1" applyAlignment="1" applyProtection="1">
      <alignment horizontal="center" vertical="center"/>
      <protection hidden="1"/>
    </xf>
    <xf numFmtId="177" fontId="5" fillId="0" borderId="1" xfId="0" applyNumberFormat="1" applyFont="1" applyBorder="1" applyAlignment="1" applyProtection="1">
      <alignment horizontal="center" vertical="center"/>
      <protection hidden="1"/>
    </xf>
    <xf numFmtId="177" fontId="5" fillId="0" borderId="12" xfId="0" applyNumberFormat="1" applyFont="1" applyBorder="1" applyAlignment="1" applyProtection="1">
      <alignment horizontal="center" vertical="center"/>
      <protection hidden="1"/>
    </xf>
    <xf numFmtId="177" fontId="5" fillId="0" borderId="14" xfId="0" applyNumberFormat="1" applyFont="1" applyBorder="1" applyAlignment="1" applyProtection="1">
      <alignment horizontal="center" vertical="center"/>
      <protection hidden="1"/>
    </xf>
    <xf numFmtId="177" fontId="5" fillId="0" borderId="15" xfId="0" applyNumberFormat="1" applyFont="1" applyBorder="1" applyAlignment="1" applyProtection="1">
      <alignment horizontal="center" vertical="center"/>
      <protection hidden="1"/>
    </xf>
    <xf numFmtId="177" fontId="0" fillId="0" borderId="2" xfId="0" applyNumberFormat="1" applyBorder="1" applyAlignment="1" applyProtection="1">
      <alignment horizontal="center" vertical="center"/>
      <protection hidden="1"/>
    </xf>
    <xf numFmtId="177" fontId="0" fillId="0" borderId="10" xfId="0" applyNumberForma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12" xfId="0" applyNumberForma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10" fontId="5" fillId="0" borderId="1" xfId="0" applyNumberFormat="1" applyFont="1" applyBorder="1" applyAlignment="1" applyProtection="1">
      <alignment horizontal="center" vertical="center"/>
      <protection hidden="1"/>
    </xf>
    <xf numFmtId="10" fontId="5" fillId="0" borderId="12" xfId="0" applyNumberFormat="1" applyFont="1" applyBorder="1" applyAlignment="1" applyProtection="1">
      <alignment horizontal="center" vertical="center"/>
      <protection hidden="1"/>
    </xf>
    <xf numFmtId="0" fontId="5" fillId="0" borderId="1" xfId="0" applyNumberFormat="1" applyFont="1" applyBorder="1" applyAlignment="1" applyProtection="1">
      <alignment horizontal="center" vertical="center"/>
      <protection hidden="1"/>
    </xf>
    <xf numFmtId="0" fontId="5" fillId="0" borderId="12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12" xfId="0" applyNumberForma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12" xfId="0" applyNumberFormat="1" applyBorder="1" applyAlignment="1" applyProtection="1">
      <alignment horizontal="center" vertical="center"/>
      <protection hidden="1"/>
    </xf>
    <xf numFmtId="10" fontId="0" fillId="2" borderId="11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12" xfId="0" applyNumberFormat="1" applyFill="1" applyBorder="1" applyAlignment="1" applyProtection="1">
      <alignment horizontal="center" vertical="center"/>
      <protection hidden="1"/>
    </xf>
    <xf numFmtId="0" fontId="7" fillId="2" borderId="31" xfId="0" applyFont="1" applyFill="1" applyBorder="1" applyProtection="1">
      <alignment vertical="center"/>
      <protection hidden="1"/>
    </xf>
    <xf numFmtId="0" fontId="7" fillId="2" borderId="32" xfId="0" applyFont="1" applyFill="1" applyBorder="1" applyProtection="1">
      <alignment vertical="center"/>
      <protection hidden="1"/>
    </xf>
    <xf numFmtId="0" fontId="7" fillId="2" borderId="1" xfId="0" applyFont="1" applyFill="1" applyBorder="1" applyProtection="1">
      <alignment vertical="center"/>
      <protection hidden="1"/>
    </xf>
    <xf numFmtId="0" fontId="7" fillId="2" borderId="12" xfId="0" applyFont="1" applyFill="1" applyBorder="1" applyProtection="1">
      <alignment vertic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hidden="1"/>
    </xf>
    <xf numFmtId="0" fontId="10" fillId="2" borderId="24" xfId="0" applyFont="1" applyFill="1" applyBorder="1" applyAlignment="1" applyProtection="1">
      <alignment horizontal="center" vertical="center"/>
      <protection hidden="1"/>
    </xf>
    <xf numFmtId="0" fontId="10" fillId="2" borderId="25" xfId="0" applyFont="1" applyFill="1" applyBorder="1" applyAlignment="1" applyProtection="1">
      <alignment horizontal="center" vertical="center"/>
      <protection hidden="1"/>
    </xf>
    <xf numFmtId="0" fontId="10" fillId="2" borderId="48" xfId="0" applyFont="1" applyFill="1" applyBorder="1" applyAlignment="1" applyProtection="1">
      <alignment horizontal="center" vertical="center"/>
      <protection hidden="1"/>
    </xf>
    <xf numFmtId="0" fontId="10" fillId="2" borderId="49" xfId="0" applyFont="1" applyFill="1" applyBorder="1" applyAlignment="1" applyProtection="1">
      <alignment horizontal="center" vertical="center"/>
      <protection hidden="1"/>
    </xf>
    <xf numFmtId="0" fontId="10" fillId="2" borderId="50" xfId="0" applyFont="1" applyFill="1" applyBorder="1" applyAlignment="1" applyProtection="1">
      <alignment horizontal="center" vertical="center"/>
      <protection hidden="1"/>
    </xf>
    <xf numFmtId="0" fontId="10" fillId="4" borderId="46" xfId="0" applyFont="1" applyFill="1" applyBorder="1" applyAlignment="1" applyProtection="1">
      <alignment horizontal="left" vertical="center"/>
      <protection hidden="1"/>
    </xf>
    <xf numFmtId="0" fontId="10" fillId="4" borderId="45" xfId="0" applyFont="1" applyFill="1" applyBorder="1" applyAlignment="1" applyProtection="1">
      <alignment horizontal="left" vertical="center"/>
      <protection hidden="1"/>
    </xf>
    <xf numFmtId="0" fontId="10" fillId="4" borderId="47" xfId="0" applyFont="1" applyFill="1" applyBorder="1" applyAlignment="1" applyProtection="1">
      <alignment horizontal="left" vertical="center"/>
      <protection hidden="1"/>
    </xf>
    <xf numFmtId="0" fontId="10" fillId="4" borderId="20" xfId="0" applyFont="1" applyFill="1" applyBorder="1" applyAlignment="1" applyProtection="1">
      <alignment horizontal="left" vertical="center"/>
      <protection hidden="1"/>
    </xf>
    <xf numFmtId="0" fontId="10" fillId="4" borderId="21" xfId="0" applyFont="1" applyFill="1" applyBorder="1" applyAlignment="1" applyProtection="1">
      <alignment horizontal="left" vertical="center"/>
      <protection hidden="1"/>
    </xf>
    <xf numFmtId="0" fontId="10" fillId="4" borderId="22" xfId="0" applyFont="1" applyFill="1" applyBorder="1" applyAlignment="1" applyProtection="1">
      <alignment horizontal="left" vertical="center"/>
      <protection hidden="1"/>
    </xf>
    <xf numFmtId="0" fontId="10" fillId="3" borderId="30" xfId="0" applyFont="1" applyFill="1" applyBorder="1" applyAlignment="1" applyProtection="1">
      <alignment horizontal="center" vertical="center"/>
      <protection hidden="1"/>
    </xf>
    <xf numFmtId="0" fontId="10" fillId="3" borderId="29" xfId="0" applyFont="1" applyFill="1" applyBorder="1" applyAlignment="1" applyProtection="1">
      <alignment horizontal="center" vertical="center"/>
      <protection hidden="1"/>
    </xf>
    <xf numFmtId="0" fontId="7" fillId="2" borderId="33" xfId="0" applyFont="1" applyFill="1" applyBorder="1" applyProtection="1">
      <alignment vertical="center"/>
      <protection hidden="1"/>
    </xf>
    <xf numFmtId="0" fontId="7" fillId="2" borderId="34" xfId="0" applyFont="1" applyFill="1" applyBorder="1" applyProtection="1">
      <alignment vertical="center"/>
      <protection hidden="1"/>
    </xf>
    <xf numFmtId="0" fontId="7" fillId="2" borderId="14" xfId="0" applyFont="1" applyFill="1" applyBorder="1" applyProtection="1">
      <alignment vertical="center"/>
      <protection hidden="1"/>
    </xf>
    <xf numFmtId="0" fontId="7" fillId="2" borderId="15" xfId="0" applyFont="1" applyFill="1" applyBorder="1" applyProtection="1">
      <alignment vertical="center"/>
      <protection hidden="1"/>
    </xf>
    <xf numFmtId="0" fontId="10" fillId="4" borderId="3" xfId="0" applyFont="1" applyFill="1" applyBorder="1" applyAlignment="1" applyProtection="1">
      <alignment horizontal="left" vertical="center"/>
      <protection hidden="1"/>
    </xf>
    <xf numFmtId="0" fontId="10" fillId="4" borderId="4" xfId="0" applyFont="1" applyFill="1" applyBorder="1" applyAlignment="1" applyProtection="1">
      <alignment horizontal="left" vertical="center"/>
      <protection hidden="1"/>
    </xf>
    <xf numFmtId="0" fontId="10" fillId="4" borderId="5" xfId="0" applyFont="1" applyFill="1" applyBorder="1" applyAlignment="1" applyProtection="1">
      <alignment horizontal="left" vertical="center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Protection="1">
      <alignment vertical="center"/>
      <protection hidden="1"/>
    </xf>
    <xf numFmtId="0" fontId="7" fillId="2" borderId="10" xfId="0" applyFont="1" applyFill="1" applyBorder="1" applyProtection="1">
      <alignment vertical="center"/>
      <protection hidden="1"/>
    </xf>
    <xf numFmtId="0" fontId="10" fillId="4" borderId="26" xfId="0" applyFont="1" applyFill="1" applyBorder="1" applyAlignment="1" applyProtection="1">
      <alignment horizontal="left" vertical="center"/>
      <protection hidden="1"/>
    </xf>
    <xf numFmtId="0" fontId="10" fillId="4" borderId="27" xfId="0" applyFont="1" applyFill="1" applyBorder="1" applyAlignment="1" applyProtection="1">
      <alignment horizontal="left" vertical="center"/>
      <protection hidden="1"/>
    </xf>
    <xf numFmtId="0" fontId="10" fillId="4" borderId="28" xfId="0" applyFont="1" applyFill="1" applyBorder="1" applyAlignment="1" applyProtection="1">
      <alignment horizontal="left" vertical="center"/>
      <protection hidden="1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 vertical="center"/>
      <protection hidden="1"/>
    </xf>
    <xf numFmtId="0" fontId="2" fillId="3" borderId="2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2" fillId="2" borderId="24" xfId="0" applyFont="1" applyFill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 applyProtection="1">
      <alignment horizontal="center" vertical="center" wrapText="1"/>
      <protection hidden="1"/>
    </xf>
    <xf numFmtId="0" fontId="2" fillId="2" borderId="25" xfId="0" applyFont="1" applyFill="1" applyBorder="1" applyAlignment="1" applyProtection="1">
      <alignment horizontal="center" vertical="center" wrapText="1"/>
      <protection hidden="1"/>
    </xf>
    <xf numFmtId="0" fontId="2" fillId="2" borderId="15" xfId="0" applyFont="1" applyFill="1" applyBorder="1" applyAlignment="1" applyProtection="1">
      <alignment horizontal="center" vertical="center" wrapText="1"/>
      <protection hidden="1"/>
    </xf>
    <xf numFmtId="0" fontId="2" fillId="2" borderId="23" xfId="0" applyFont="1" applyFill="1" applyBorder="1" applyAlignment="1" applyProtection="1">
      <alignment horizontal="center" vertical="center" wrapText="1"/>
      <protection hidden="1"/>
    </xf>
    <xf numFmtId="0" fontId="2" fillId="2" borderId="13" xfId="0" applyFont="1" applyFill="1" applyBorder="1" applyAlignment="1" applyProtection="1">
      <alignment horizontal="center" vertical="center" wrapText="1"/>
      <protection hidden="1"/>
    </xf>
    <xf numFmtId="0" fontId="0" fillId="2" borderId="9" xfId="0" applyFill="1" applyBorder="1" applyAlignment="1" applyProtection="1">
      <alignment vertical="center" wrapText="1"/>
      <protection hidden="1"/>
    </xf>
    <xf numFmtId="0" fontId="0" fillId="2" borderId="11" xfId="0" applyFill="1" applyBorder="1" applyAlignment="1" applyProtection="1">
      <alignment vertical="center"/>
      <protection hidden="1"/>
    </xf>
    <xf numFmtId="0" fontId="0" fillId="2" borderId="13" xfId="0" applyFill="1" applyBorder="1" applyAlignment="1" applyProtection="1">
      <alignment vertical="center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left" vertical="center"/>
      <protection hidden="1"/>
    </xf>
    <xf numFmtId="0" fontId="2" fillId="3" borderId="7" xfId="0" applyFont="1" applyFill="1" applyBorder="1" applyAlignment="1" applyProtection="1">
      <alignment horizontal="left" vertical="center"/>
      <protection hidden="1"/>
    </xf>
    <xf numFmtId="0" fontId="2" fillId="3" borderId="8" xfId="0" applyFont="1" applyFill="1" applyBorder="1" applyAlignment="1" applyProtection="1">
      <alignment horizontal="left" vertical="center"/>
      <protection hidden="1"/>
    </xf>
    <xf numFmtId="0" fontId="5" fillId="2" borderId="11" xfId="0" applyFont="1" applyFill="1" applyBorder="1" applyAlignment="1" applyProtection="1">
      <alignment vertical="center" wrapText="1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5" fillId="2" borderId="42" xfId="0" applyFont="1" applyFill="1" applyBorder="1" applyAlignment="1" applyProtection="1">
      <alignment vertical="center"/>
      <protection hidden="1"/>
    </xf>
    <xf numFmtId="0" fontId="5" fillId="2" borderId="36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5" xfId="0" applyFont="1" applyFill="1" applyBorder="1" applyAlignment="1" applyProtection="1">
      <alignment vertical="center"/>
      <protection hidden="1"/>
    </xf>
    <xf numFmtId="0" fontId="5" fillId="2" borderId="1" xfId="0" quotePrefix="1" applyFont="1" applyFill="1" applyBorder="1" applyAlignment="1" applyProtection="1">
      <alignment horizontal="center" vertical="center"/>
      <protection hidden="1"/>
    </xf>
    <xf numFmtId="0" fontId="5" fillId="2" borderId="42" xfId="0" applyFont="1" applyFill="1" applyBorder="1" applyAlignment="1" applyProtection="1">
      <alignment horizontal="left" vertical="center" wrapText="1"/>
      <protection hidden="1"/>
    </xf>
    <xf numFmtId="0" fontId="5" fillId="2" borderId="36" xfId="0" applyFont="1" applyFill="1" applyBorder="1" applyAlignment="1" applyProtection="1">
      <alignment horizontal="left" vertical="center" wrapText="1"/>
      <protection hidden="1"/>
    </xf>
    <xf numFmtId="0" fontId="5" fillId="2" borderId="9" xfId="0" applyFont="1" applyFill="1" applyBorder="1" applyAlignment="1" applyProtection="1">
      <alignment horizontal="left" vertical="center" wrapText="1"/>
      <protection hidden="1"/>
    </xf>
    <xf numFmtId="0" fontId="5" fillId="2" borderId="43" xfId="0" applyFont="1" applyFill="1" applyBorder="1" applyAlignment="1" applyProtection="1">
      <alignment horizontal="center" vertical="center" wrapText="1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vertical="center" wrapText="1"/>
      <protection hidden="1"/>
    </xf>
    <xf numFmtId="0" fontId="5" fillId="2" borderId="35" xfId="0" applyFont="1" applyFill="1" applyBorder="1" applyAlignment="1" applyProtection="1">
      <alignment horizontal="left" vertical="center"/>
      <protection hidden="1"/>
    </xf>
    <xf numFmtId="0" fontId="5" fillId="2" borderId="36" xfId="0" applyFont="1" applyFill="1" applyBorder="1" applyAlignment="1" applyProtection="1">
      <alignment horizontal="left" vertical="center"/>
      <protection hidden="1"/>
    </xf>
    <xf numFmtId="0" fontId="5" fillId="2" borderId="9" xfId="0" applyFont="1" applyFill="1" applyBorder="1" applyAlignment="1" applyProtection="1">
      <alignment horizontal="left" vertical="center"/>
      <protection hidden="1"/>
    </xf>
    <xf numFmtId="0" fontId="2" fillId="2" borderId="44" xfId="0" applyFont="1" applyFill="1" applyBorder="1" applyAlignment="1" applyProtection="1">
      <alignment horizontal="center" vertical="center" wrapText="1"/>
      <protection hidden="1"/>
    </xf>
    <xf numFmtId="0" fontId="2" fillId="2" borderId="43" xfId="0" applyFont="1" applyFill="1" applyBorder="1" applyAlignment="1" applyProtection="1">
      <alignment horizontal="center" vertical="center" wrapText="1"/>
      <protection hidden="1"/>
    </xf>
    <xf numFmtId="0" fontId="2" fillId="2" borderId="42" xfId="0" applyFont="1" applyFill="1" applyBorder="1" applyAlignment="1" applyProtection="1">
      <alignment horizontal="center" vertical="center" wrapText="1"/>
      <protection hidden="1"/>
    </xf>
    <xf numFmtId="0" fontId="0" fillId="2" borderId="9" xfId="0" applyFill="1" applyBorder="1" applyAlignment="1" applyProtection="1">
      <alignment horizontal="left" vertical="center" wrapText="1"/>
      <protection hidden="1"/>
    </xf>
    <xf numFmtId="0" fontId="0" fillId="2" borderId="11" xfId="0" applyFill="1" applyBorder="1" applyAlignment="1" applyProtection="1">
      <alignment horizontal="left" vertical="center"/>
      <protection hidden="1"/>
    </xf>
    <xf numFmtId="0" fontId="0" fillId="2" borderId="13" xfId="0" applyFill="1" applyBorder="1" applyAlignment="1" applyProtection="1">
      <alignment horizontal="left" vertical="center"/>
      <protection hidden="1"/>
    </xf>
    <xf numFmtId="0" fontId="5" fillId="2" borderId="11" xfId="0" applyFont="1" applyFill="1" applyBorder="1" applyAlignment="1" applyProtection="1">
      <alignment horizontal="left" vertical="center"/>
      <protection hidden="1"/>
    </xf>
    <xf numFmtId="0" fontId="5" fillId="2" borderId="42" xfId="0" applyFont="1" applyFill="1" applyBorder="1" applyAlignment="1" applyProtection="1">
      <alignment horizontal="left" vertical="center"/>
      <protection hidden="1"/>
    </xf>
    <xf numFmtId="0" fontId="5" fillId="2" borderId="11" xfId="0" applyFont="1" applyFill="1" applyBorder="1" applyAlignment="1" applyProtection="1">
      <alignment horizontal="left" vertical="center" wrapText="1"/>
      <protection hidden="1"/>
    </xf>
    <xf numFmtId="0" fontId="5" fillId="2" borderId="13" xfId="0" applyFont="1" applyFill="1" applyBorder="1" applyAlignment="1" applyProtection="1">
      <alignment horizontal="left" vertical="center" wrapText="1"/>
      <protection hidden="1"/>
    </xf>
    <xf numFmtId="0" fontId="5" fillId="2" borderId="35" xfId="0" applyFont="1" applyFill="1" applyBorder="1" applyAlignment="1" applyProtection="1">
      <alignment horizontal="left" vertical="center" wrapText="1"/>
      <protection hidden="1"/>
    </xf>
    <xf numFmtId="0" fontId="5" fillId="2" borderId="16" xfId="0" applyFont="1" applyFill="1" applyBorder="1" applyAlignment="1" applyProtection="1">
      <alignment horizontal="left" vertical="center"/>
      <protection hidden="1"/>
    </xf>
    <xf numFmtId="0" fontId="5" fillId="2" borderId="13" xfId="0" applyFont="1" applyFill="1" applyBorder="1" applyAlignment="1" applyProtection="1">
      <alignment horizontal="left" vertical="center"/>
      <protection hidden="1"/>
    </xf>
    <xf numFmtId="0" fontId="5" fillId="2" borderId="37" xfId="0" applyFont="1" applyFill="1" applyBorder="1" applyAlignment="1" applyProtection="1">
      <alignment horizontal="center" vertical="center" wrapText="1"/>
      <protection hidden="1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0" fillId="4" borderId="23" xfId="0" applyFont="1" applyFill="1" applyBorder="1" applyAlignment="1" applyProtection="1">
      <alignment horizontal="left" vertical="center"/>
      <protection hidden="1"/>
    </xf>
    <xf numFmtId="0" fontId="10" fillId="4" borderId="24" xfId="0" applyFont="1" applyFill="1" applyBorder="1" applyAlignment="1" applyProtection="1">
      <alignment horizontal="left" vertical="center"/>
      <protection hidden="1"/>
    </xf>
    <xf numFmtId="0" fontId="10" fillId="4" borderId="25" xfId="0" applyFont="1" applyFill="1" applyBorder="1" applyAlignment="1" applyProtection="1">
      <alignment horizontal="left" vertical="center"/>
      <protection hidden="1"/>
    </xf>
  </cellXfs>
  <cellStyles count="1">
    <cellStyle name="常规" xfId="0" builtinId="0"/>
  </cellStyles>
  <dxfs count="33"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ill>
        <patternFill patternType="lightUp"/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fgColor auto="1"/>
        </patternFill>
      </fill>
    </dxf>
    <dxf>
      <font>
        <color theme="0"/>
      </font>
      <fill>
        <patternFill patternType="lightUp"/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lightUp">
          <fgColor auto="1"/>
        </patternFill>
      </fill>
    </dxf>
  </dxfs>
  <tableStyles count="0" defaultTableStyle="TableStyleMedium2" defaultPivotStyle="PivotStyleLight16"/>
  <colors>
    <mruColors>
      <color rgb="FFB6D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7DB8-572A-450D-B8EA-B2E3B6F220CF}">
  <sheetPr>
    <tabColor theme="7" tint="0.79998168889431442"/>
  </sheetPr>
  <dimension ref="A1:F66"/>
  <sheetViews>
    <sheetView tabSelected="1" zoomScale="85" zoomScaleNormal="85" workbookViewId="0"/>
  </sheetViews>
  <sheetFormatPr defaultColWidth="9" defaultRowHeight="12.75" x14ac:dyDescent="0.2"/>
  <cols>
    <col min="1" max="6" width="22.625" style="39" customWidth="1"/>
    <col min="7" max="16384" width="9" style="39"/>
  </cols>
  <sheetData>
    <row r="1" spans="1:4" ht="21" x14ac:dyDescent="0.2">
      <c r="A1" s="37" t="s">
        <v>131</v>
      </c>
      <c r="B1" s="37"/>
      <c r="C1" s="37"/>
      <c r="D1" s="37"/>
    </row>
    <row r="3" spans="1:4" x14ac:dyDescent="0.2">
      <c r="A3" s="40" t="s">
        <v>123</v>
      </c>
    </row>
    <row r="4" spans="1:4" x14ac:dyDescent="0.2">
      <c r="A4" s="40" t="s">
        <v>124</v>
      </c>
    </row>
    <row r="5" spans="1:4" ht="13.5" thickBot="1" x14ac:dyDescent="0.25"/>
    <row r="6" spans="1:4" ht="14.45" customHeight="1" thickBot="1" x14ac:dyDescent="0.25">
      <c r="A6" s="218" t="s">
        <v>125</v>
      </c>
      <c r="B6" s="219"/>
      <c r="C6" s="219"/>
      <c r="D6" s="220"/>
    </row>
    <row r="7" spans="1:4" ht="14.45" customHeight="1" thickBot="1" x14ac:dyDescent="0.25">
      <c r="A7" s="42" t="s">
        <v>22</v>
      </c>
      <c r="B7" s="214" t="s">
        <v>126</v>
      </c>
      <c r="C7" s="214"/>
      <c r="D7" s="215"/>
    </row>
    <row r="8" spans="1:4" ht="13.5" thickTop="1" x14ac:dyDescent="0.2">
      <c r="A8" s="63" t="s">
        <v>155</v>
      </c>
      <c r="B8" s="64"/>
      <c r="C8" s="64"/>
      <c r="D8" s="65"/>
    </row>
    <row r="9" spans="1:4" x14ac:dyDescent="0.2">
      <c r="A9" s="43" t="s">
        <v>156</v>
      </c>
      <c r="B9" s="61"/>
      <c r="C9" s="61"/>
      <c r="D9" s="62"/>
    </row>
    <row r="10" spans="1:4" x14ac:dyDescent="0.2">
      <c r="A10" s="44" t="s">
        <v>127</v>
      </c>
      <c r="B10" s="61"/>
      <c r="C10" s="61"/>
      <c r="D10" s="62"/>
    </row>
    <row r="11" spans="1:4" ht="13.5" thickBot="1" x14ac:dyDescent="0.25">
      <c r="A11" s="136" t="s">
        <v>157</v>
      </c>
      <c r="B11" s="137"/>
      <c r="C11" s="137"/>
      <c r="D11" s="138"/>
    </row>
    <row r="12" spans="1:4" ht="13.5" thickBot="1" x14ac:dyDescent="0.25">
      <c r="A12" s="42" t="s">
        <v>22</v>
      </c>
      <c r="B12" s="117" t="s">
        <v>417</v>
      </c>
      <c r="C12" s="117" t="s">
        <v>418</v>
      </c>
      <c r="D12" s="118" t="s">
        <v>413</v>
      </c>
    </row>
    <row r="13" spans="1:4" ht="14.25" thickTop="1" thickBot="1" x14ac:dyDescent="0.25">
      <c r="A13" s="139" t="s">
        <v>239</v>
      </c>
      <c r="B13" s="142" t="s">
        <v>547</v>
      </c>
      <c r="C13" s="142"/>
      <c r="D13" s="140"/>
    </row>
    <row r="14" spans="1:4" ht="13.5" thickBot="1" x14ac:dyDescent="0.25">
      <c r="A14" s="41" t="s">
        <v>22</v>
      </c>
      <c r="B14" s="54" t="s">
        <v>414</v>
      </c>
      <c r="C14" s="54" t="s">
        <v>415</v>
      </c>
      <c r="D14" s="141" t="s">
        <v>416</v>
      </c>
    </row>
    <row r="15" spans="1:4" ht="15.75" thickTop="1" thickBot="1" x14ac:dyDescent="0.25">
      <c r="A15" s="45" t="s">
        <v>133</v>
      </c>
      <c r="B15" s="19" t="s">
        <v>115</v>
      </c>
      <c r="C15" s="19" t="s">
        <v>652</v>
      </c>
      <c r="D15" s="20" t="s">
        <v>295</v>
      </c>
    </row>
    <row r="16" spans="1:4" ht="13.5" hidden="1" thickBot="1" x14ac:dyDescent="0.25"/>
    <row r="17" spans="1:4" ht="14.45" hidden="1" customHeight="1" thickBot="1" x14ac:dyDescent="0.25">
      <c r="A17" s="211" t="s">
        <v>105</v>
      </c>
      <c r="B17" s="212"/>
      <c r="C17" s="212"/>
      <c r="D17" s="213"/>
    </row>
    <row r="18" spans="1:4" ht="13.5" hidden="1" thickBot="1" x14ac:dyDescent="0.25">
      <c r="A18" s="42" t="s">
        <v>128</v>
      </c>
      <c r="B18" s="46" t="s">
        <v>129</v>
      </c>
      <c r="C18" s="214" t="s">
        <v>130</v>
      </c>
      <c r="D18" s="215"/>
    </row>
    <row r="19" spans="1:4" ht="13.5" hidden="1" thickTop="1" x14ac:dyDescent="0.2">
      <c r="A19" s="47" t="s">
        <v>410</v>
      </c>
      <c r="B19" s="48" t="s">
        <v>135</v>
      </c>
      <c r="C19" s="216" t="str">
        <f>$A$17&amp;"_"&amp;$B$15&amp;"_"&amp;$C$15&amp;"_"&amp;SUBSTITUTE($A19," ","_")</f>
        <v>Handset_VoLTE_AMR_NB_3GPP_TS126.131/132</v>
      </c>
      <c r="D19" s="217"/>
    </row>
    <row r="20" spans="1:4" hidden="1" x14ac:dyDescent="0.2">
      <c r="A20" s="49" t="s">
        <v>298</v>
      </c>
      <c r="B20" s="50" t="s">
        <v>135</v>
      </c>
      <c r="C20" s="191" t="str">
        <f t="shared" ref="C20:C21" si="0">$A$17&amp;"_"&amp;$B$15&amp;"_"&amp;$C$15&amp;"_"&amp;SUBSTITUTE($A20," ","_")</f>
        <v>Handset_VoLTE_AMR_NB_Robustaness</v>
      </c>
      <c r="D20" s="192"/>
    </row>
    <row r="21" spans="1:4" ht="13.5" hidden="1" thickBot="1" x14ac:dyDescent="0.25">
      <c r="A21" s="51" t="s">
        <v>110</v>
      </c>
      <c r="B21" s="52" t="s">
        <v>135</v>
      </c>
      <c r="C21" s="209" t="str">
        <f t="shared" si="0"/>
        <v>Handset_VoLTE_AMR_NB_POLQA_MOS</v>
      </c>
      <c r="D21" s="210"/>
    </row>
    <row r="22" spans="1:4" ht="15" hidden="1" thickBot="1" x14ac:dyDescent="0.25">
      <c r="A22" s="53"/>
      <c r="B22" s="53"/>
      <c r="C22" s="53"/>
      <c r="D22" s="53"/>
    </row>
    <row r="23" spans="1:4" ht="14.45" hidden="1" customHeight="1" thickBot="1" x14ac:dyDescent="0.25">
      <c r="A23" s="202" t="s">
        <v>132</v>
      </c>
      <c r="B23" s="203"/>
      <c r="C23" s="203"/>
      <c r="D23" s="204"/>
    </row>
    <row r="24" spans="1:4" ht="13.5" hidden="1" thickBot="1" x14ac:dyDescent="0.25">
      <c r="A24" s="41" t="s">
        <v>128</v>
      </c>
      <c r="B24" s="54" t="s">
        <v>129</v>
      </c>
      <c r="C24" s="205" t="s">
        <v>130</v>
      </c>
      <c r="D24" s="206"/>
    </row>
    <row r="25" spans="1:4" ht="13.5" hidden="1" thickTop="1" x14ac:dyDescent="0.2">
      <c r="A25" s="47" t="s">
        <v>409</v>
      </c>
      <c r="B25" s="48" t="s">
        <v>135</v>
      </c>
      <c r="C25" s="207" t="str">
        <f>$A$23&amp;"_"&amp;$B$15&amp;"_"&amp;$C$15&amp;"_"&amp;SUBSTITUTE($A25," ","_")</f>
        <v>Handsfree_VoLTE_AMR_NB_3GPP_TS126.131/132</v>
      </c>
      <c r="D25" s="208"/>
    </row>
    <row r="26" spans="1:4" ht="13.5" hidden="1" thickBot="1" x14ac:dyDescent="0.25">
      <c r="A26" s="51" t="s">
        <v>110</v>
      </c>
      <c r="B26" s="52" t="s">
        <v>135</v>
      </c>
      <c r="C26" s="189" t="str">
        <f>$A$23&amp;"_"&amp;$B$15&amp;"_"&amp;$C$15&amp;"_"&amp;SUBSTITUTE($A26," ","_")</f>
        <v>Handsfree_VoLTE_AMR_NB_POLQA_MOS</v>
      </c>
      <c r="D26" s="190"/>
    </row>
    <row r="27" spans="1:4" ht="13.5" hidden="1" thickBot="1" x14ac:dyDescent="0.25"/>
    <row r="28" spans="1:4" ht="14.45" hidden="1" customHeight="1" thickBot="1" x14ac:dyDescent="0.25">
      <c r="A28" s="202" t="s">
        <v>97</v>
      </c>
      <c r="B28" s="203"/>
      <c r="C28" s="203"/>
      <c r="D28" s="204"/>
    </row>
    <row r="29" spans="1:4" ht="13.5" hidden="1" thickBot="1" x14ac:dyDescent="0.25">
      <c r="A29" s="41" t="s">
        <v>128</v>
      </c>
      <c r="B29" s="54" t="s">
        <v>129</v>
      </c>
      <c r="C29" s="205" t="s">
        <v>130</v>
      </c>
      <c r="D29" s="206"/>
    </row>
    <row r="30" spans="1:4" ht="13.5" hidden="1" thickTop="1" x14ac:dyDescent="0.2">
      <c r="A30" s="47" t="s">
        <v>411</v>
      </c>
      <c r="B30" s="48" t="s">
        <v>135</v>
      </c>
      <c r="C30" s="207" t="str">
        <f>$A$28&amp;"_"&amp;$B$15&amp;"_"&amp;$C$15&amp;"_"&amp;SUBSTITUTE($A30," ","_")</f>
        <v>Headset_VoLTE_AMR_NB_3GPP_TS126.131/132</v>
      </c>
      <c r="D30" s="208"/>
    </row>
    <row r="31" spans="1:4" ht="13.5" hidden="1" thickBot="1" x14ac:dyDescent="0.25">
      <c r="A31" s="51" t="s">
        <v>110</v>
      </c>
      <c r="B31" s="52" t="s">
        <v>135</v>
      </c>
      <c r="C31" s="189" t="str">
        <f>$A$28&amp;"_"&amp;$B$15&amp;"_"&amp;$C$15&amp;"_"&amp;SUBSTITUTE($A31," ","_")</f>
        <v>Headset_VoLTE_AMR_NB_POLQA_MOS</v>
      </c>
      <c r="D31" s="190"/>
    </row>
    <row r="32" spans="1:4" ht="13.5" hidden="1" thickBot="1" x14ac:dyDescent="0.25"/>
    <row r="33" spans="1:6" ht="13.5" hidden="1" thickBot="1" x14ac:dyDescent="0.25">
      <c r="A33" s="211" t="s">
        <v>136</v>
      </c>
      <c r="B33" s="212"/>
      <c r="C33" s="212"/>
      <c r="D33" s="213"/>
    </row>
    <row r="34" spans="1:6" ht="13.5" hidden="1" thickBot="1" x14ac:dyDescent="0.25">
      <c r="A34" s="42" t="s">
        <v>128</v>
      </c>
      <c r="B34" s="46" t="s">
        <v>129</v>
      </c>
      <c r="C34" s="214" t="s">
        <v>130</v>
      </c>
      <c r="D34" s="215"/>
    </row>
    <row r="35" spans="1:6" ht="13.5" hidden="1" thickTop="1" x14ac:dyDescent="0.2">
      <c r="A35" s="47" t="s">
        <v>151</v>
      </c>
      <c r="B35" s="48" t="s">
        <v>135</v>
      </c>
      <c r="C35" s="216" t="str">
        <f>$A$33&amp;"_"&amp;$B$15&amp;"_"&amp;$C$15&amp;"_"&amp;SUBSTITUTE($A35," ","_")</f>
        <v>Bluetooth_VoLTE_AMR_NB_Acoustic_TRD</v>
      </c>
      <c r="D35" s="217"/>
    </row>
    <row r="36" spans="1:6" ht="13.5" hidden="1" thickBot="1" x14ac:dyDescent="0.25">
      <c r="A36" s="51" t="s">
        <v>110</v>
      </c>
      <c r="B36" s="52" t="s">
        <v>135</v>
      </c>
      <c r="C36" s="209" t="str">
        <f>$A$33&amp;"_"&amp;$B$15&amp;"_"&amp;$C$15&amp;"_"&amp;SUBSTITUTE($A36," ","_")</f>
        <v>Bluetooth_VoLTE_AMR_NB_POLQA_MOS</v>
      </c>
      <c r="D36" s="210"/>
    </row>
    <row r="37" spans="1:6" ht="13.5" hidden="1" thickBot="1" x14ac:dyDescent="0.25"/>
    <row r="38" spans="1:6" ht="13.5" hidden="1" thickBot="1" x14ac:dyDescent="0.25">
      <c r="A38" s="211" t="s">
        <v>163</v>
      </c>
      <c r="B38" s="212"/>
      <c r="C38" s="212"/>
      <c r="D38" s="213"/>
    </row>
    <row r="39" spans="1:6" ht="13.5" hidden="1" thickBot="1" x14ac:dyDescent="0.25">
      <c r="A39" s="42" t="s">
        <v>128</v>
      </c>
      <c r="B39" s="117" t="s">
        <v>129</v>
      </c>
      <c r="C39" s="214" t="s">
        <v>130</v>
      </c>
      <c r="D39" s="215"/>
    </row>
    <row r="40" spans="1:6" ht="13.5" hidden="1" thickTop="1" x14ac:dyDescent="0.2">
      <c r="A40" s="47" t="s">
        <v>409</v>
      </c>
      <c r="B40" s="48" t="s">
        <v>135</v>
      </c>
      <c r="C40" s="216" t="str">
        <f>$A$38&amp;"_"&amp;$B$15&amp;"_"&amp;$C$15&amp;"_"&amp;SUBSTITUTE($A40," ","_")</f>
        <v>Electrical Interface_VoLTE_AMR_NB_3GPP_TS126.131/132</v>
      </c>
      <c r="D40" s="217"/>
    </row>
    <row r="41" spans="1:6" ht="13.5" hidden="1" thickBot="1" x14ac:dyDescent="0.25">
      <c r="A41" s="51" t="s">
        <v>299</v>
      </c>
      <c r="B41" s="52" t="s">
        <v>412</v>
      </c>
      <c r="C41" s="119" t="str">
        <f>$A$38&amp;"_"&amp;$B$15&amp;"_"&amp;$C$15&amp;"_"&amp;SUBSTITUTE($A41," ","_")</f>
        <v>Electrical Interface_VoLTE_AMR_NB_P.381</v>
      </c>
      <c r="D41" s="120"/>
    </row>
    <row r="42" spans="1:6" ht="13.5" hidden="1" thickBot="1" x14ac:dyDescent="0.25"/>
    <row r="43" spans="1:6" ht="14.45" hidden="1" customHeight="1" thickBot="1" x14ac:dyDescent="0.25">
      <c r="A43" s="199" t="s">
        <v>138</v>
      </c>
      <c r="B43" s="200"/>
      <c r="C43" s="200"/>
      <c r="D43" s="200"/>
      <c r="E43" s="200"/>
      <c r="F43" s="201"/>
    </row>
    <row r="44" spans="1:6" ht="14.45" hidden="1" customHeight="1" x14ac:dyDescent="0.2">
      <c r="A44" s="93" t="s">
        <v>219</v>
      </c>
      <c r="B44" s="194" t="s">
        <v>111</v>
      </c>
      <c r="C44" s="194"/>
      <c r="D44" s="194"/>
      <c r="E44" s="194"/>
      <c r="F44" s="195"/>
    </row>
    <row r="45" spans="1:6" hidden="1" x14ac:dyDescent="0.2">
      <c r="A45" s="55" t="s">
        <v>25</v>
      </c>
      <c r="B45" s="56" t="s">
        <v>41</v>
      </c>
      <c r="C45" s="56" t="s">
        <v>43</v>
      </c>
      <c r="D45" s="56"/>
      <c r="E45" s="56"/>
      <c r="F45" s="57"/>
    </row>
    <row r="46" spans="1:6" hidden="1" x14ac:dyDescent="0.2">
      <c r="A46" s="55" t="s">
        <v>26</v>
      </c>
      <c r="B46" s="56" t="s">
        <v>41</v>
      </c>
      <c r="C46" s="56" t="s">
        <v>43</v>
      </c>
      <c r="D46" s="56"/>
      <c r="E46" s="56"/>
      <c r="F46" s="57"/>
    </row>
    <row r="47" spans="1:6" hidden="1" x14ac:dyDescent="0.2">
      <c r="A47" s="55" t="s">
        <v>27</v>
      </c>
      <c r="B47" s="56" t="s">
        <v>142</v>
      </c>
      <c r="C47" s="56" t="s">
        <v>141</v>
      </c>
      <c r="D47" s="56" t="s">
        <v>139</v>
      </c>
      <c r="E47" s="56" t="s">
        <v>44</v>
      </c>
      <c r="F47" s="57"/>
    </row>
    <row r="48" spans="1:6" hidden="1" x14ac:dyDescent="0.2">
      <c r="A48" s="55" t="s">
        <v>28</v>
      </c>
      <c r="B48" s="56" t="s">
        <v>41</v>
      </c>
      <c r="C48" s="56" t="s">
        <v>43</v>
      </c>
      <c r="D48" s="56" t="s">
        <v>42</v>
      </c>
      <c r="E48" s="56" t="s">
        <v>45</v>
      </c>
      <c r="F48" s="57" t="s">
        <v>53</v>
      </c>
    </row>
    <row r="49" spans="1:6" hidden="1" x14ac:dyDescent="0.2">
      <c r="A49" s="55" t="s">
        <v>107</v>
      </c>
      <c r="B49" s="56" t="s">
        <v>108</v>
      </c>
      <c r="C49" s="56" t="s">
        <v>140</v>
      </c>
      <c r="D49" s="56"/>
      <c r="E49" s="56"/>
      <c r="F49" s="57"/>
    </row>
    <row r="50" spans="1:6" hidden="1" x14ac:dyDescent="0.2">
      <c r="A50" s="55" t="s">
        <v>113</v>
      </c>
      <c r="B50" s="56" t="s">
        <v>41</v>
      </c>
      <c r="C50" s="56" t="s">
        <v>43</v>
      </c>
      <c r="D50" s="56" t="s">
        <v>42</v>
      </c>
      <c r="E50" s="56" t="s">
        <v>45</v>
      </c>
      <c r="F50" s="57" t="s">
        <v>53</v>
      </c>
    </row>
    <row r="51" spans="1:6" ht="13.5" hidden="1" thickBot="1" x14ac:dyDescent="0.25">
      <c r="A51" s="58" t="s">
        <v>114</v>
      </c>
      <c r="B51" s="59" t="s">
        <v>41</v>
      </c>
      <c r="C51" s="59" t="s">
        <v>43</v>
      </c>
      <c r="D51" s="59" t="s">
        <v>42</v>
      </c>
      <c r="E51" s="59" t="s">
        <v>45</v>
      </c>
      <c r="F51" s="60" t="s">
        <v>53</v>
      </c>
    </row>
    <row r="52" spans="1:6" ht="14.45" hidden="1" customHeight="1" x14ac:dyDescent="0.2">
      <c r="A52" s="193" t="s">
        <v>217</v>
      </c>
      <c r="B52" s="194"/>
      <c r="C52" s="194"/>
      <c r="D52" s="194"/>
      <c r="E52" s="194"/>
      <c r="F52" s="195"/>
    </row>
    <row r="53" spans="1:6" hidden="1" x14ac:dyDescent="0.2">
      <c r="A53" s="49" t="s">
        <v>194</v>
      </c>
      <c r="B53" s="88" t="s">
        <v>203</v>
      </c>
      <c r="C53" s="88" t="s">
        <v>204</v>
      </c>
      <c r="D53" s="88"/>
      <c r="E53" s="88"/>
      <c r="F53" s="91"/>
    </row>
    <row r="54" spans="1:6" hidden="1" x14ac:dyDescent="0.2">
      <c r="A54" s="49" t="s">
        <v>195</v>
      </c>
      <c r="B54" s="88" t="s">
        <v>205</v>
      </c>
      <c r="C54" s="88" t="s">
        <v>206</v>
      </c>
      <c r="D54" s="88" t="s">
        <v>207</v>
      </c>
      <c r="E54" s="88"/>
      <c r="F54" s="91"/>
    </row>
    <row r="55" spans="1:6" hidden="1" x14ac:dyDescent="0.2">
      <c r="A55" s="49" t="s">
        <v>198</v>
      </c>
      <c r="B55" s="88" t="s">
        <v>208</v>
      </c>
      <c r="C55" s="88" t="s">
        <v>210</v>
      </c>
      <c r="D55" s="88" t="s">
        <v>211</v>
      </c>
      <c r="E55" s="88"/>
      <c r="F55" s="91"/>
    </row>
    <row r="56" spans="1:6" hidden="1" x14ac:dyDescent="0.2">
      <c r="A56" s="49" t="s">
        <v>199</v>
      </c>
      <c r="B56" s="88" t="s">
        <v>208</v>
      </c>
      <c r="C56" s="88" t="s">
        <v>210</v>
      </c>
      <c r="D56" s="88" t="s">
        <v>212</v>
      </c>
      <c r="E56" s="88"/>
      <c r="F56" s="91"/>
    </row>
    <row r="57" spans="1:6" hidden="1" x14ac:dyDescent="0.2">
      <c r="A57" s="49" t="s">
        <v>200</v>
      </c>
      <c r="B57" s="88" t="s">
        <v>209</v>
      </c>
      <c r="C57" s="88" t="s">
        <v>210</v>
      </c>
      <c r="D57" s="88" t="s">
        <v>212</v>
      </c>
      <c r="E57" s="90"/>
      <c r="F57" s="91"/>
    </row>
    <row r="58" spans="1:6" hidden="1" x14ac:dyDescent="0.2">
      <c r="A58" s="49" t="s">
        <v>196</v>
      </c>
      <c r="B58" s="88" t="s">
        <v>213</v>
      </c>
      <c r="C58" s="88"/>
      <c r="D58" s="88"/>
      <c r="E58" s="90"/>
      <c r="F58" s="91"/>
    </row>
    <row r="59" spans="1:6" hidden="1" x14ac:dyDescent="0.2">
      <c r="A59" s="49" t="s">
        <v>197</v>
      </c>
      <c r="B59" s="88" t="s">
        <v>214</v>
      </c>
      <c r="C59" s="88"/>
      <c r="D59" s="88"/>
      <c r="E59" s="90"/>
      <c r="F59" s="91"/>
    </row>
    <row r="60" spans="1:6" hidden="1" x14ac:dyDescent="0.2">
      <c r="A60" s="49" t="s">
        <v>201</v>
      </c>
      <c r="B60" s="88" t="s">
        <v>215</v>
      </c>
      <c r="C60" s="88" t="s">
        <v>649</v>
      </c>
      <c r="D60" s="116" t="s">
        <v>650</v>
      </c>
      <c r="E60" s="116"/>
      <c r="F60" s="91"/>
    </row>
    <row r="61" spans="1:6" ht="14.45" hidden="1" customHeight="1" thickBot="1" x14ac:dyDescent="0.25">
      <c r="A61" s="51" t="s">
        <v>202</v>
      </c>
      <c r="B61" s="87" t="s">
        <v>216</v>
      </c>
      <c r="C61" s="87" t="s">
        <v>300</v>
      </c>
      <c r="D61" s="87"/>
      <c r="E61" s="92"/>
      <c r="F61" s="94"/>
    </row>
    <row r="62" spans="1:6" ht="13.9" hidden="1" customHeight="1" x14ac:dyDescent="0.2">
      <c r="A62" s="196" t="s">
        <v>226</v>
      </c>
      <c r="B62" s="197"/>
      <c r="C62" s="197"/>
      <c r="D62" s="197"/>
      <c r="E62" s="197"/>
      <c r="F62" s="198"/>
    </row>
    <row r="63" spans="1:6" ht="13.5" hidden="1" thickBot="1" x14ac:dyDescent="0.25">
      <c r="A63" s="95" t="s">
        <v>220</v>
      </c>
      <c r="B63" s="96" t="s">
        <v>221</v>
      </c>
      <c r="C63" s="96" t="s">
        <v>222</v>
      </c>
      <c r="D63" s="96" t="s">
        <v>223</v>
      </c>
      <c r="E63" s="96" t="s">
        <v>224</v>
      </c>
      <c r="F63" s="97" t="s">
        <v>225</v>
      </c>
    </row>
    <row r="64" spans="1:6" hidden="1" x14ac:dyDescent="0.2">
      <c r="A64" s="193" t="s">
        <v>218</v>
      </c>
      <c r="B64" s="194"/>
      <c r="C64" s="194"/>
      <c r="D64" s="194"/>
      <c r="E64" s="194"/>
      <c r="F64" s="195"/>
    </row>
    <row r="65" spans="1:6" hidden="1" x14ac:dyDescent="0.2">
      <c r="A65" s="103" t="s">
        <v>390</v>
      </c>
      <c r="B65" s="90" t="s">
        <v>391</v>
      </c>
      <c r="C65" s="90" t="s">
        <v>392</v>
      </c>
      <c r="D65" s="90"/>
      <c r="E65" s="101"/>
      <c r="F65" s="102"/>
    </row>
    <row r="66" spans="1:6" ht="13.5" hidden="1" thickBot="1" x14ac:dyDescent="0.25">
      <c r="A66" s="51" t="s">
        <v>235</v>
      </c>
      <c r="B66" s="99" t="s">
        <v>236</v>
      </c>
      <c r="C66" s="99" t="s">
        <v>237</v>
      </c>
      <c r="D66" s="99" t="s">
        <v>238</v>
      </c>
      <c r="E66" s="99"/>
      <c r="F66" s="100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</protectedRanges>
  <dataConsolidate/>
  <mergeCells count="27">
    <mergeCell ref="C19:D19"/>
    <mergeCell ref="A6:D6"/>
    <mergeCell ref="B7:D7"/>
    <mergeCell ref="C21:D21"/>
    <mergeCell ref="C18:D18"/>
    <mergeCell ref="A17:D17"/>
    <mergeCell ref="C35:D35"/>
    <mergeCell ref="C31:D31"/>
    <mergeCell ref="A38:D38"/>
    <mergeCell ref="C39:D39"/>
    <mergeCell ref="C40:D40"/>
    <mergeCell ref="C26:D26"/>
    <mergeCell ref="C20:D20"/>
    <mergeCell ref="A64:F64"/>
    <mergeCell ref="A52:F52"/>
    <mergeCell ref="A62:F62"/>
    <mergeCell ref="A43:F43"/>
    <mergeCell ref="A23:D23"/>
    <mergeCell ref="C24:D24"/>
    <mergeCell ref="C25:D25"/>
    <mergeCell ref="C36:D36"/>
    <mergeCell ref="A28:D28"/>
    <mergeCell ref="C29:D29"/>
    <mergeCell ref="C30:D30"/>
    <mergeCell ref="B44:F44"/>
    <mergeCell ref="A33:D33"/>
    <mergeCell ref="C34:D34"/>
  </mergeCells>
  <phoneticPr fontId="1" type="noConversion"/>
  <dataValidations count="6">
    <dataValidation type="list" allowBlank="1" showInputMessage="1" showErrorMessage="1" sqref="B10:D10" xr:uid="{F54445AA-137A-42B9-9A71-13BAF1A52FBE}">
      <formula1>HardwareVersions</formula1>
    </dataValidation>
    <dataValidation type="list" allowBlank="1" showInputMessage="1" showErrorMessage="1" sqref="B13" xr:uid="{C413DE42-F0BE-456F-BA5E-716CB7DA42CD}">
      <formula1>InterfaceTypes</formula1>
    </dataValidation>
    <dataValidation type="list" allowBlank="1" showInputMessage="1" showErrorMessage="1" sqref="C15" xr:uid="{706235A3-BBBC-4B24-AFD5-558B5AF29697}">
      <formula1>INDIRECT($B$15&amp;"_Vc_Bw")</formula1>
    </dataValidation>
    <dataValidation type="list" allowBlank="1" showInputMessage="1" showErrorMessage="1" sqref="D15" xr:uid="{A9A630CA-C336-41CF-BBF3-E9C7344825DD}">
      <formula1>INDIRECT($C$15&amp;"_Br")</formula1>
    </dataValidation>
    <dataValidation type="list" allowBlank="1" showInputMessage="1" showErrorMessage="1" sqref="B15" xr:uid="{A9C46591-CA80-47BF-9C27-E9EBA6EE4C7E}">
      <formula1>Networks</formula1>
    </dataValidation>
    <dataValidation type="list" allowBlank="1" showInputMessage="1" sqref="D13" xr:uid="{D6A1B625-71A0-4B8C-BCCD-7F7C9D41B728}">
      <formula1>HeadsetTypes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AS75"/>
  <sheetViews>
    <sheetView zoomScale="70" zoomScaleNormal="70" workbookViewId="0">
      <pane ySplit="4" topLeftCell="A5" activePane="bottomLeft" state="frozen"/>
      <selection pane="bottomLeft" sqref="A1:H1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666</v>
      </c>
      <c r="B1" s="253"/>
      <c r="C1" s="253"/>
      <c r="D1" s="253"/>
      <c r="E1" s="253"/>
      <c r="F1" s="253"/>
      <c r="G1" s="253"/>
      <c r="H1" s="253"/>
      <c r="I1" s="14"/>
      <c r="J1" s="14"/>
      <c r="K1" s="14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38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6"/>
    </row>
    <row r="5" spans="1:45" s="2" customFormat="1" ht="15" thickBot="1" x14ac:dyDescent="0.25">
      <c r="A5" s="249" t="s">
        <v>410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68" t="s">
        <v>374</v>
      </c>
      <c r="N5" s="69" t="s">
        <v>108</v>
      </c>
      <c r="O5" s="69" t="s">
        <v>140</v>
      </c>
      <c r="P5" s="69" t="s">
        <v>374</v>
      </c>
      <c r="Q5" s="69" t="s">
        <v>108</v>
      </c>
      <c r="R5" s="71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58" t="s">
        <v>121</v>
      </c>
      <c r="B6" s="21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 ""," / "&amp;HLOOKUP(SUBSTITUTE(SUBSTITUTE(SUBSTITUTE(SUBSTITUTE(SUBSTITUTE(VCBW,"AMR_",""),"EVS_",""),"SO3_",""),"SO68_",""),"SO73_",""),$P$3:$R$75,ROW(B6)-ROW($P$3)+1,FALSE))</f>
        <v>5.2.2 / 7.2.2.1</v>
      </c>
      <c r="C6" s="21" t="s">
        <v>7</v>
      </c>
      <c r="D6" s="21"/>
      <c r="E6" s="29">
        <f t="shared" ref="E6:E37" si="1">HLOOKUP(IF(OR("GSM"=Network,"WCDMA"=Network),"UMTS",IF(OR("VoLTE"=Network,"VoNR"=Network,"VoWiFi"=Network),"VoIMS",Network))&amp;" "&amp;VCBW,$T$3:$AF$75,ROW(E6)-ROW($T$3)+1,FALSE)</f>
        <v>5</v>
      </c>
      <c r="F6" s="29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21" t="s">
        <v>49</v>
      </c>
      <c r="H6" s="21">
        <v>1</v>
      </c>
      <c r="I6" s="166"/>
      <c r="J6" s="166"/>
      <c r="K6" s="167"/>
      <c r="M6" s="143" t="s">
        <v>548</v>
      </c>
      <c r="N6" s="144" t="s">
        <v>554</v>
      </c>
      <c r="O6" s="144" t="s">
        <v>561</v>
      </c>
      <c r="P6" s="144" t="s">
        <v>419</v>
      </c>
      <c r="Q6" s="144" t="s">
        <v>421</v>
      </c>
      <c r="R6" s="145" t="s">
        <v>475</v>
      </c>
      <c r="T6" s="72">
        <v>5</v>
      </c>
      <c r="U6" s="129">
        <v>5</v>
      </c>
      <c r="V6" s="129">
        <v>5</v>
      </c>
      <c r="W6" s="129">
        <v>5</v>
      </c>
      <c r="X6" s="129">
        <v>5</v>
      </c>
      <c r="Y6" s="129">
        <v>5</v>
      </c>
      <c r="Z6" s="129">
        <v>5</v>
      </c>
      <c r="AA6" s="129">
        <v>5</v>
      </c>
      <c r="AB6" s="129">
        <v>5</v>
      </c>
      <c r="AC6" s="129">
        <v>5</v>
      </c>
      <c r="AD6" s="129">
        <v>5</v>
      </c>
      <c r="AE6" s="129">
        <v>5</v>
      </c>
      <c r="AF6" s="129">
        <v>5</v>
      </c>
      <c r="AG6" s="129">
        <v>11</v>
      </c>
      <c r="AH6" s="129">
        <v>11</v>
      </c>
      <c r="AI6" s="129">
        <v>11</v>
      </c>
      <c r="AJ6" s="129">
        <v>11</v>
      </c>
      <c r="AK6" s="129">
        <v>11</v>
      </c>
      <c r="AL6" s="129">
        <v>11</v>
      </c>
      <c r="AM6" s="129">
        <v>11</v>
      </c>
      <c r="AN6" s="129">
        <v>11</v>
      </c>
      <c r="AO6" s="129">
        <v>11</v>
      </c>
      <c r="AP6" s="129">
        <v>11</v>
      </c>
      <c r="AQ6" s="129">
        <v>11</v>
      </c>
      <c r="AR6" s="129">
        <v>11</v>
      </c>
      <c r="AS6" s="33">
        <v>11</v>
      </c>
    </row>
    <row r="7" spans="1:45" x14ac:dyDescent="0.2">
      <c r="A7" s="255"/>
      <c r="B7" s="231" t="str">
        <f t="shared" si="0"/>
        <v>5.2.2 / 7.2.2.2</v>
      </c>
      <c r="C7" s="231" t="s">
        <v>8</v>
      </c>
      <c r="D7" s="15" t="s">
        <v>74</v>
      </c>
      <c r="E7" s="15">
        <f t="shared" si="1"/>
        <v>-13</v>
      </c>
      <c r="F7" s="15">
        <f t="shared" si="2"/>
        <v>-10</v>
      </c>
      <c r="G7" s="15" t="s">
        <v>49</v>
      </c>
      <c r="H7" s="15">
        <v>1</v>
      </c>
      <c r="I7" s="168"/>
      <c r="J7" s="168"/>
      <c r="K7" s="169"/>
      <c r="M7" s="143" t="s">
        <v>548</v>
      </c>
      <c r="N7" s="144" t="s">
        <v>554</v>
      </c>
      <c r="O7" s="144" t="s">
        <v>561</v>
      </c>
      <c r="P7" s="144" t="s">
        <v>423</v>
      </c>
      <c r="Q7" s="144" t="s">
        <v>425</v>
      </c>
      <c r="R7" s="145" t="s">
        <v>477</v>
      </c>
      <c r="T7" s="72">
        <v>-13</v>
      </c>
      <c r="U7" s="129">
        <v>-13</v>
      </c>
      <c r="V7" s="129">
        <v>-13</v>
      </c>
      <c r="W7" s="129">
        <v>-13</v>
      </c>
      <c r="X7" s="129">
        <v>-13</v>
      </c>
      <c r="Y7" s="129">
        <v>-13</v>
      </c>
      <c r="Z7" s="129">
        <v>-13</v>
      </c>
      <c r="AA7" s="129">
        <v>-13</v>
      </c>
      <c r="AB7" s="129">
        <v>-13</v>
      </c>
      <c r="AC7" s="129">
        <v>-13</v>
      </c>
      <c r="AD7" s="129">
        <v>-13</v>
      </c>
      <c r="AE7" s="129">
        <v>-13</v>
      </c>
      <c r="AF7" s="129">
        <v>-13</v>
      </c>
      <c r="AG7" s="129">
        <v>-10</v>
      </c>
      <c r="AH7" s="129">
        <v>-10</v>
      </c>
      <c r="AI7" s="129">
        <v>-10</v>
      </c>
      <c r="AJ7" s="129">
        <v>-10</v>
      </c>
      <c r="AK7" s="129">
        <v>-10</v>
      </c>
      <c r="AL7" s="129">
        <v>-10</v>
      </c>
      <c r="AM7" s="129">
        <v>-10</v>
      </c>
      <c r="AN7" s="129">
        <v>-10</v>
      </c>
      <c r="AO7" s="129">
        <v>-10</v>
      </c>
      <c r="AP7" s="129">
        <v>-10</v>
      </c>
      <c r="AQ7" s="129">
        <v>-10</v>
      </c>
      <c r="AR7" s="129">
        <v>-10</v>
      </c>
      <c r="AS7" s="33">
        <v>-10</v>
      </c>
    </row>
    <row r="8" spans="1:45" x14ac:dyDescent="0.2">
      <c r="A8" s="255"/>
      <c r="B8" s="231" t="str">
        <f t="shared" si="0"/>
        <v>5.2.2 / 7.2.2.2</v>
      </c>
      <c r="C8" s="231"/>
      <c r="D8" s="15" t="s">
        <v>78</v>
      </c>
      <c r="E8" s="15">
        <f t="shared" si="1"/>
        <v>-10</v>
      </c>
      <c r="F8" s="15">
        <f t="shared" si="2"/>
        <v>-4</v>
      </c>
      <c r="G8" s="15" t="s">
        <v>72</v>
      </c>
      <c r="H8" s="15">
        <v>4</v>
      </c>
      <c r="I8" s="168"/>
      <c r="J8" s="168" t="s">
        <v>165</v>
      </c>
      <c r="K8" s="169" t="s">
        <v>164</v>
      </c>
      <c r="M8" s="143" t="s">
        <v>548</v>
      </c>
      <c r="N8" s="144" t="s">
        <v>554</v>
      </c>
      <c r="O8" s="144" t="s">
        <v>561</v>
      </c>
      <c r="P8" s="144" t="s">
        <v>423</v>
      </c>
      <c r="Q8" s="144" t="s">
        <v>425</v>
      </c>
      <c r="R8" s="145" t="s">
        <v>477</v>
      </c>
      <c r="T8" s="72">
        <v>-10</v>
      </c>
      <c r="U8" s="129">
        <v>-10</v>
      </c>
      <c r="V8" s="129">
        <v>-10</v>
      </c>
      <c r="W8" s="129">
        <v>-10</v>
      </c>
      <c r="X8" s="129">
        <v>-10</v>
      </c>
      <c r="Y8" s="129">
        <v>-10</v>
      </c>
      <c r="Z8" s="129">
        <v>-10</v>
      </c>
      <c r="AA8" s="129">
        <v>-10</v>
      </c>
      <c r="AB8" s="129">
        <v>-10</v>
      </c>
      <c r="AC8" s="129">
        <v>-10</v>
      </c>
      <c r="AD8" s="129">
        <v>-10</v>
      </c>
      <c r="AE8" s="129">
        <v>-10</v>
      </c>
      <c r="AF8" s="129">
        <v>-10</v>
      </c>
      <c r="AG8" s="129">
        <v>-4</v>
      </c>
      <c r="AH8" s="129">
        <v>-4</v>
      </c>
      <c r="AI8" s="129">
        <v>-4</v>
      </c>
      <c r="AJ8" s="129">
        <v>-4</v>
      </c>
      <c r="AK8" s="129">
        <v>-4</v>
      </c>
      <c r="AL8" s="129">
        <v>-4</v>
      </c>
      <c r="AM8" s="129">
        <v>-4</v>
      </c>
      <c r="AN8" s="129">
        <v>-4</v>
      </c>
      <c r="AO8" s="129">
        <v>-4</v>
      </c>
      <c r="AP8" s="129">
        <v>-4</v>
      </c>
      <c r="AQ8" s="129">
        <v>-4</v>
      </c>
      <c r="AR8" s="129">
        <v>-4</v>
      </c>
      <c r="AS8" s="33">
        <v>-4</v>
      </c>
    </row>
    <row r="9" spans="1:45" x14ac:dyDescent="0.2">
      <c r="A9" s="255"/>
      <c r="B9" s="231" t="str">
        <f t="shared" si="0"/>
        <v>5.2.2 / 7.2.2.2</v>
      </c>
      <c r="C9" s="231"/>
      <c r="D9" s="15" t="s">
        <v>75</v>
      </c>
      <c r="E9" s="15">
        <f t="shared" si="1"/>
        <v>-7</v>
      </c>
      <c r="F9" s="15">
        <f t="shared" si="2"/>
        <v>-1</v>
      </c>
      <c r="G9" s="15" t="s">
        <v>72</v>
      </c>
      <c r="H9" s="15">
        <v>4</v>
      </c>
      <c r="I9" s="168"/>
      <c r="J9" s="168" t="s">
        <v>164</v>
      </c>
      <c r="K9" s="169" t="s">
        <v>164</v>
      </c>
      <c r="M9" s="143" t="s">
        <v>548</v>
      </c>
      <c r="N9" s="144" t="s">
        <v>554</v>
      </c>
      <c r="O9" s="144" t="s">
        <v>561</v>
      </c>
      <c r="P9" s="144" t="s">
        <v>423</v>
      </c>
      <c r="Q9" s="144" t="s">
        <v>425</v>
      </c>
      <c r="R9" s="145" t="s">
        <v>477</v>
      </c>
      <c r="T9" s="72">
        <v>-7</v>
      </c>
      <c r="U9" s="129">
        <v>-7</v>
      </c>
      <c r="V9" s="129">
        <v>-7</v>
      </c>
      <c r="W9" s="129">
        <v>-7</v>
      </c>
      <c r="X9" s="129">
        <v>-7</v>
      </c>
      <c r="Y9" s="129">
        <v>-7</v>
      </c>
      <c r="Z9" s="129">
        <v>-7</v>
      </c>
      <c r="AA9" s="129">
        <v>-7</v>
      </c>
      <c r="AB9" s="129">
        <v>-7</v>
      </c>
      <c r="AC9" s="129">
        <v>-7</v>
      </c>
      <c r="AD9" s="129">
        <v>-7</v>
      </c>
      <c r="AE9" s="129">
        <v>-7</v>
      </c>
      <c r="AF9" s="129">
        <v>-7</v>
      </c>
      <c r="AG9" s="129">
        <v>-1</v>
      </c>
      <c r="AH9" s="129">
        <v>-1</v>
      </c>
      <c r="AI9" s="129">
        <v>-1</v>
      </c>
      <c r="AJ9" s="129">
        <v>-1</v>
      </c>
      <c r="AK9" s="129">
        <v>-1</v>
      </c>
      <c r="AL9" s="129">
        <v>-1</v>
      </c>
      <c r="AM9" s="129">
        <v>-1</v>
      </c>
      <c r="AN9" s="129">
        <v>-1</v>
      </c>
      <c r="AO9" s="129">
        <v>-1</v>
      </c>
      <c r="AP9" s="129">
        <v>-1</v>
      </c>
      <c r="AQ9" s="129">
        <v>-1</v>
      </c>
      <c r="AR9" s="129">
        <v>-1</v>
      </c>
      <c r="AS9" s="33">
        <v>-1</v>
      </c>
    </row>
    <row r="10" spans="1:45" x14ac:dyDescent="0.2">
      <c r="A10" s="255"/>
      <c r="B10" s="231" t="str">
        <f t="shared" si="0"/>
        <v>5.2.2 / 7.2.2.2</v>
      </c>
      <c r="C10" s="231"/>
      <c r="D10" s="15" t="s">
        <v>79</v>
      </c>
      <c r="E10" s="15">
        <f t="shared" si="1"/>
        <v>-4</v>
      </c>
      <c r="F10" s="15">
        <f t="shared" si="2"/>
        <v>2</v>
      </c>
      <c r="G10" s="15" t="s">
        <v>72</v>
      </c>
      <c r="H10" s="15">
        <v>4</v>
      </c>
      <c r="I10" s="168"/>
      <c r="J10" s="168" t="s">
        <v>164</v>
      </c>
      <c r="K10" s="169" t="s">
        <v>164</v>
      </c>
      <c r="M10" s="143" t="s">
        <v>548</v>
      </c>
      <c r="N10" s="144" t="s">
        <v>554</v>
      </c>
      <c r="O10" s="144" t="s">
        <v>561</v>
      </c>
      <c r="P10" s="144" t="s">
        <v>423</v>
      </c>
      <c r="Q10" s="144" t="s">
        <v>425</v>
      </c>
      <c r="R10" s="145" t="s">
        <v>477</v>
      </c>
      <c r="T10" s="72">
        <v>-4</v>
      </c>
      <c r="U10" s="129">
        <v>-4</v>
      </c>
      <c r="V10" s="129">
        <v>-4</v>
      </c>
      <c r="W10" s="129">
        <v>-4</v>
      </c>
      <c r="X10" s="129">
        <v>-4</v>
      </c>
      <c r="Y10" s="129">
        <v>-4</v>
      </c>
      <c r="Z10" s="129">
        <v>-4</v>
      </c>
      <c r="AA10" s="129">
        <v>-4</v>
      </c>
      <c r="AB10" s="129">
        <v>-4</v>
      </c>
      <c r="AC10" s="129">
        <v>-4</v>
      </c>
      <c r="AD10" s="129">
        <v>-4</v>
      </c>
      <c r="AE10" s="129">
        <v>-4</v>
      </c>
      <c r="AF10" s="129">
        <v>-4</v>
      </c>
      <c r="AG10" s="129">
        <v>2</v>
      </c>
      <c r="AH10" s="129">
        <v>2</v>
      </c>
      <c r="AI10" s="129">
        <v>2</v>
      </c>
      <c r="AJ10" s="129">
        <v>2</v>
      </c>
      <c r="AK10" s="129">
        <v>2</v>
      </c>
      <c r="AL10" s="129">
        <v>2</v>
      </c>
      <c r="AM10" s="129">
        <v>2</v>
      </c>
      <c r="AN10" s="129">
        <v>2</v>
      </c>
      <c r="AO10" s="129">
        <v>2</v>
      </c>
      <c r="AP10" s="129">
        <v>2</v>
      </c>
      <c r="AQ10" s="129">
        <v>2</v>
      </c>
      <c r="AR10" s="129">
        <v>2</v>
      </c>
      <c r="AS10" s="33">
        <v>2</v>
      </c>
    </row>
    <row r="11" spans="1:45" x14ac:dyDescent="0.2">
      <c r="A11" s="255"/>
      <c r="B11" s="231" t="str">
        <f t="shared" si="0"/>
        <v>5.2.2 / 7.2.2.2</v>
      </c>
      <c r="C11" s="231"/>
      <c r="D11" s="15" t="s">
        <v>83</v>
      </c>
      <c r="E11" s="15">
        <f t="shared" si="1"/>
        <v>-1</v>
      </c>
      <c r="F11" s="15">
        <f t="shared" si="2"/>
        <v>5</v>
      </c>
      <c r="G11" s="15" t="s">
        <v>49</v>
      </c>
      <c r="H11" s="15">
        <v>1</v>
      </c>
      <c r="I11" s="168"/>
      <c r="J11" s="168"/>
      <c r="K11" s="169"/>
      <c r="M11" s="143" t="s">
        <v>548</v>
      </c>
      <c r="N11" s="144" t="s">
        <v>554</v>
      </c>
      <c r="O11" s="144" t="s">
        <v>561</v>
      </c>
      <c r="P11" s="144" t="s">
        <v>423</v>
      </c>
      <c r="Q11" s="144" t="s">
        <v>425</v>
      </c>
      <c r="R11" s="145" t="s">
        <v>477</v>
      </c>
      <c r="T11" s="72">
        <v>-1</v>
      </c>
      <c r="U11" s="129">
        <v>-1</v>
      </c>
      <c r="V11" s="129">
        <v>-1</v>
      </c>
      <c r="W11" s="129">
        <v>-1</v>
      </c>
      <c r="X11" s="129">
        <v>-1</v>
      </c>
      <c r="Y11" s="129">
        <v>-1</v>
      </c>
      <c r="Z11" s="129">
        <v>-1</v>
      </c>
      <c r="AA11" s="129">
        <v>-1</v>
      </c>
      <c r="AB11" s="129">
        <v>-1</v>
      </c>
      <c r="AC11" s="129">
        <v>-1</v>
      </c>
      <c r="AD11" s="129">
        <v>-1</v>
      </c>
      <c r="AE11" s="129">
        <v>-1</v>
      </c>
      <c r="AF11" s="129">
        <v>-1</v>
      </c>
      <c r="AG11" s="129">
        <v>5</v>
      </c>
      <c r="AH11" s="129">
        <v>5</v>
      </c>
      <c r="AI11" s="129">
        <v>5</v>
      </c>
      <c r="AJ11" s="129">
        <v>5</v>
      </c>
      <c r="AK11" s="129">
        <v>5</v>
      </c>
      <c r="AL11" s="129">
        <v>5</v>
      </c>
      <c r="AM11" s="129">
        <v>5</v>
      </c>
      <c r="AN11" s="129">
        <v>5</v>
      </c>
      <c r="AO11" s="129">
        <v>5</v>
      </c>
      <c r="AP11" s="129">
        <v>5</v>
      </c>
      <c r="AQ11" s="129">
        <v>5</v>
      </c>
      <c r="AR11" s="129">
        <v>5</v>
      </c>
      <c r="AS11" s="33">
        <v>5</v>
      </c>
    </row>
    <row r="12" spans="1:45" x14ac:dyDescent="0.2">
      <c r="A12" s="255"/>
      <c r="B12" s="231" t="str">
        <f t="shared" si="0"/>
        <v>5.2.2 / 7.2.2.2</v>
      </c>
      <c r="C12" s="231"/>
      <c r="D12" s="15" t="s">
        <v>80</v>
      </c>
      <c r="E12" s="15">
        <f t="shared" si="1"/>
        <v>2</v>
      </c>
      <c r="F12" s="15">
        <f t="shared" si="2"/>
        <v>12</v>
      </c>
      <c r="G12" s="15" t="s">
        <v>72</v>
      </c>
      <c r="H12" s="15">
        <v>4</v>
      </c>
      <c r="I12" s="168"/>
      <c r="J12" s="168" t="s">
        <v>164</v>
      </c>
      <c r="K12" s="169" t="s">
        <v>164</v>
      </c>
      <c r="M12" s="143" t="s">
        <v>548</v>
      </c>
      <c r="N12" s="144" t="s">
        <v>554</v>
      </c>
      <c r="O12" s="144" t="s">
        <v>561</v>
      </c>
      <c r="P12" s="144" t="s">
        <v>423</v>
      </c>
      <c r="Q12" s="144" t="s">
        <v>425</v>
      </c>
      <c r="R12" s="145" t="s">
        <v>477</v>
      </c>
      <c r="T12" s="72">
        <v>2</v>
      </c>
      <c r="U12" s="129">
        <v>2</v>
      </c>
      <c r="V12" s="129">
        <v>2</v>
      </c>
      <c r="W12" s="129">
        <v>2</v>
      </c>
      <c r="X12" s="129">
        <v>2</v>
      </c>
      <c r="Y12" s="129">
        <v>2</v>
      </c>
      <c r="Z12" s="129">
        <v>2</v>
      </c>
      <c r="AA12" s="129">
        <v>2</v>
      </c>
      <c r="AB12" s="129">
        <v>2</v>
      </c>
      <c r="AC12" s="129">
        <v>2</v>
      </c>
      <c r="AD12" s="129">
        <v>2</v>
      </c>
      <c r="AE12" s="129">
        <v>2</v>
      </c>
      <c r="AF12" s="129">
        <v>2</v>
      </c>
      <c r="AG12" s="129">
        <v>12</v>
      </c>
      <c r="AH12" s="129">
        <v>12</v>
      </c>
      <c r="AI12" s="129">
        <v>12</v>
      </c>
      <c r="AJ12" s="129">
        <v>12</v>
      </c>
      <c r="AK12" s="129">
        <v>12</v>
      </c>
      <c r="AL12" s="129">
        <v>12</v>
      </c>
      <c r="AM12" s="129">
        <v>12</v>
      </c>
      <c r="AN12" s="129">
        <v>12</v>
      </c>
      <c r="AO12" s="129">
        <v>12</v>
      </c>
      <c r="AP12" s="129">
        <v>12</v>
      </c>
      <c r="AQ12" s="129">
        <v>12</v>
      </c>
      <c r="AR12" s="129">
        <v>12</v>
      </c>
      <c r="AS12" s="33">
        <v>12</v>
      </c>
    </row>
    <row r="13" spans="1:45" x14ac:dyDescent="0.2">
      <c r="A13" s="255"/>
      <c r="B13" s="231" t="str">
        <f t="shared" si="0"/>
        <v>5.2.2 / 7.2.2.2</v>
      </c>
      <c r="C13" s="231"/>
      <c r="D13" s="15" t="s">
        <v>81</v>
      </c>
      <c r="E13" s="15">
        <f t="shared" si="1"/>
        <v>5</v>
      </c>
      <c r="F13" s="15">
        <f t="shared" si="2"/>
        <v>15</v>
      </c>
      <c r="G13" s="15" t="s">
        <v>72</v>
      </c>
      <c r="H13" s="15">
        <v>4</v>
      </c>
      <c r="I13" s="168"/>
      <c r="J13" s="168" t="s">
        <v>164</v>
      </c>
      <c r="K13" s="169" t="s">
        <v>164</v>
      </c>
      <c r="M13" s="143" t="s">
        <v>548</v>
      </c>
      <c r="N13" s="144" t="s">
        <v>554</v>
      </c>
      <c r="O13" s="144" t="s">
        <v>561</v>
      </c>
      <c r="P13" s="144" t="s">
        <v>423</v>
      </c>
      <c r="Q13" s="144" t="s">
        <v>425</v>
      </c>
      <c r="R13" s="145" t="s">
        <v>477</v>
      </c>
      <c r="T13" s="72">
        <v>5</v>
      </c>
      <c r="U13" s="129">
        <v>5</v>
      </c>
      <c r="V13" s="129">
        <v>5</v>
      </c>
      <c r="W13" s="129">
        <v>5</v>
      </c>
      <c r="X13" s="129">
        <v>5</v>
      </c>
      <c r="Y13" s="129">
        <v>5</v>
      </c>
      <c r="Z13" s="129">
        <v>5</v>
      </c>
      <c r="AA13" s="129">
        <v>5</v>
      </c>
      <c r="AB13" s="129">
        <v>5</v>
      </c>
      <c r="AC13" s="129">
        <v>5</v>
      </c>
      <c r="AD13" s="129">
        <v>5</v>
      </c>
      <c r="AE13" s="129">
        <v>5</v>
      </c>
      <c r="AF13" s="129">
        <v>5</v>
      </c>
      <c r="AG13" s="129">
        <v>15</v>
      </c>
      <c r="AH13" s="129">
        <v>15</v>
      </c>
      <c r="AI13" s="129">
        <v>15</v>
      </c>
      <c r="AJ13" s="129">
        <v>15</v>
      </c>
      <c r="AK13" s="129">
        <v>15</v>
      </c>
      <c r="AL13" s="129">
        <v>15</v>
      </c>
      <c r="AM13" s="129">
        <v>15</v>
      </c>
      <c r="AN13" s="129">
        <v>15</v>
      </c>
      <c r="AO13" s="129">
        <v>15</v>
      </c>
      <c r="AP13" s="129">
        <v>15</v>
      </c>
      <c r="AQ13" s="129">
        <v>15</v>
      </c>
      <c r="AR13" s="129">
        <v>15</v>
      </c>
      <c r="AS13" s="33">
        <v>15</v>
      </c>
    </row>
    <row r="14" spans="1:45" x14ac:dyDescent="0.2">
      <c r="A14" s="255"/>
      <c r="B14" s="231" t="str">
        <f t="shared" si="0"/>
        <v>5.2.2 / 7.2.2.2</v>
      </c>
      <c r="C14" s="231"/>
      <c r="D14" s="15" t="s">
        <v>82</v>
      </c>
      <c r="E14" s="15">
        <f t="shared" si="1"/>
        <v>8</v>
      </c>
      <c r="F14" s="15">
        <f t="shared" si="2"/>
        <v>18</v>
      </c>
      <c r="G14" s="15" t="s">
        <v>49</v>
      </c>
      <c r="H14" s="15">
        <v>1</v>
      </c>
      <c r="I14" s="168"/>
      <c r="J14" s="168"/>
      <c r="K14" s="169"/>
      <c r="M14" s="143" t="s">
        <v>548</v>
      </c>
      <c r="N14" s="144" t="s">
        <v>554</v>
      </c>
      <c r="O14" s="144" t="s">
        <v>561</v>
      </c>
      <c r="P14" s="144" t="s">
        <v>423</v>
      </c>
      <c r="Q14" s="144" t="s">
        <v>425</v>
      </c>
      <c r="R14" s="145" t="s">
        <v>477</v>
      </c>
      <c r="T14" s="72">
        <v>8</v>
      </c>
      <c r="U14" s="129">
        <v>8</v>
      </c>
      <c r="V14" s="129">
        <v>8</v>
      </c>
      <c r="W14" s="129">
        <v>8</v>
      </c>
      <c r="X14" s="129">
        <v>8</v>
      </c>
      <c r="Y14" s="129">
        <v>8</v>
      </c>
      <c r="Z14" s="129">
        <v>8</v>
      </c>
      <c r="AA14" s="129">
        <v>8</v>
      </c>
      <c r="AB14" s="129">
        <v>8</v>
      </c>
      <c r="AC14" s="129">
        <v>8</v>
      </c>
      <c r="AD14" s="129">
        <v>8</v>
      </c>
      <c r="AE14" s="129">
        <v>8</v>
      </c>
      <c r="AF14" s="129">
        <v>8</v>
      </c>
      <c r="AG14" s="129">
        <v>18</v>
      </c>
      <c r="AH14" s="129">
        <v>18</v>
      </c>
      <c r="AI14" s="129">
        <v>18</v>
      </c>
      <c r="AJ14" s="129">
        <v>18</v>
      </c>
      <c r="AK14" s="129">
        <v>18</v>
      </c>
      <c r="AL14" s="129">
        <v>18</v>
      </c>
      <c r="AM14" s="129">
        <v>18</v>
      </c>
      <c r="AN14" s="129">
        <v>18</v>
      </c>
      <c r="AO14" s="129">
        <v>18</v>
      </c>
      <c r="AP14" s="129">
        <v>18</v>
      </c>
      <c r="AQ14" s="129">
        <v>18</v>
      </c>
      <c r="AR14" s="129">
        <v>18</v>
      </c>
      <c r="AS14" s="33">
        <v>18</v>
      </c>
    </row>
    <row r="15" spans="1:45" x14ac:dyDescent="0.2">
      <c r="A15" s="256"/>
      <c r="B15" s="15" t="str">
        <f t="shared" si="0"/>
        <v>5.2.2a / 7.2.2.3</v>
      </c>
      <c r="C15" s="15" t="s">
        <v>150</v>
      </c>
      <c r="D15" s="15" t="s">
        <v>74</v>
      </c>
      <c r="E15" s="15">
        <f t="shared" si="1"/>
        <v>-13</v>
      </c>
      <c r="F15" s="15">
        <f t="shared" si="2"/>
        <v>-10</v>
      </c>
      <c r="G15" s="15" t="s">
        <v>49</v>
      </c>
      <c r="H15" s="15">
        <v>1</v>
      </c>
      <c r="I15" s="168"/>
      <c r="J15" s="168" t="s">
        <v>164</v>
      </c>
      <c r="K15" s="169" t="s">
        <v>164</v>
      </c>
      <c r="M15" s="143" t="s">
        <v>549</v>
      </c>
      <c r="N15" s="144" t="s">
        <v>556</v>
      </c>
      <c r="O15" s="144" t="s">
        <v>563</v>
      </c>
      <c r="P15" s="144" t="s">
        <v>436</v>
      </c>
      <c r="Q15" s="144" t="s">
        <v>457</v>
      </c>
      <c r="R15" s="145" t="s">
        <v>478</v>
      </c>
      <c r="T15" s="72">
        <v>-13</v>
      </c>
      <c r="U15" s="129">
        <v>-13</v>
      </c>
      <c r="V15" s="129">
        <v>-13</v>
      </c>
      <c r="W15" s="129">
        <v>-13</v>
      </c>
      <c r="X15" s="129">
        <v>-13</v>
      </c>
      <c r="Y15" s="129">
        <v>-13</v>
      </c>
      <c r="Z15" s="129">
        <v>-13</v>
      </c>
      <c r="AA15" s="129">
        <v>-13</v>
      </c>
      <c r="AB15" s="129">
        <v>-13</v>
      </c>
      <c r="AC15" s="129">
        <v>-13</v>
      </c>
      <c r="AD15" s="129">
        <v>-13</v>
      </c>
      <c r="AE15" s="129">
        <v>-13</v>
      </c>
      <c r="AF15" s="129">
        <v>-13</v>
      </c>
      <c r="AG15" s="129">
        <v>-10</v>
      </c>
      <c r="AH15" s="129">
        <v>-10</v>
      </c>
      <c r="AI15" s="129">
        <v>-10</v>
      </c>
      <c r="AJ15" s="129">
        <v>-10</v>
      </c>
      <c r="AK15" s="129">
        <v>-10</v>
      </c>
      <c r="AL15" s="129">
        <v>-10</v>
      </c>
      <c r="AM15" s="129">
        <v>-10</v>
      </c>
      <c r="AN15" s="129">
        <v>-10</v>
      </c>
      <c r="AO15" s="129">
        <v>-10</v>
      </c>
      <c r="AP15" s="129">
        <v>-10</v>
      </c>
      <c r="AQ15" s="129">
        <v>-10</v>
      </c>
      <c r="AR15" s="129">
        <v>-10</v>
      </c>
      <c r="AS15" s="33">
        <v>-10</v>
      </c>
    </row>
    <row r="16" spans="1:45" x14ac:dyDescent="0.2">
      <c r="A16" s="232" t="s">
        <v>6</v>
      </c>
      <c r="B16" s="221" t="str">
        <f t="shared" si="0"/>
        <v>5.3.1 / 7.3.1</v>
      </c>
      <c r="C16" s="221" t="s">
        <v>9</v>
      </c>
      <c r="D16" s="105"/>
      <c r="E16" s="15" t="str">
        <f t="shared" si="1"/>
        <v>N/A</v>
      </c>
      <c r="F16" s="15">
        <f t="shared" si="2"/>
        <v>-64</v>
      </c>
      <c r="G16" s="15" t="s">
        <v>50</v>
      </c>
      <c r="H16" s="15">
        <v>1</v>
      </c>
      <c r="I16" s="168"/>
      <c r="J16" s="168"/>
      <c r="K16" s="169"/>
      <c r="M16" s="143" t="s">
        <v>503</v>
      </c>
      <c r="N16" s="144" t="s">
        <v>521</v>
      </c>
      <c r="O16" s="144" t="s">
        <v>430</v>
      </c>
      <c r="P16" s="144" t="s">
        <v>429</v>
      </c>
      <c r="Q16" s="144" t="s">
        <v>427</v>
      </c>
      <c r="R16" s="145" t="s">
        <v>482</v>
      </c>
      <c r="T16" s="72" t="s">
        <v>143</v>
      </c>
      <c r="U16" s="129" t="s">
        <v>143</v>
      </c>
      <c r="V16" s="129" t="s">
        <v>143</v>
      </c>
      <c r="W16" s="129" t="s">
        <v>143</v>
      </c>
      <c r="X16" s="129" t="s">
        <v>143</v>
      </c>
      <c r="Y16" s="129" t="s">
        <v>143</v>
      </c>
      <c r="Z16" s="129" t="s">
        <v>143</v>
      </c>
      <c r="AA16" s="129" t="s">
        <v>143</v>
      </c>
      <c r="AB16" s="129" t="s">
        <v>143</v>
      </c>
      <c r="AC16" s="129" t="s">
        <v>143</v>
      </c>
      <c r="AD16" s="129" t="s">
        <v>143</v>
      </c>
      <c r="AE16" s="129" t="s">
        <v>143</v>
      </c>
      <c r="AF16" s="129" t="s">
        <v>143</v>
      </c>
      <c r="AG16" s="129">
        <v>-64</v>
      </c>
      <c r="AH16" s="129">
        <v>-64</v>
      </c>
      <c r="AI16" s="129">
        <v>-64</v>
      </c>
      <c r="AJ16" s="129">
        <v>-64</v>
      </c>
      <c r="AK16" s="129">
        <v>-64</v>
      </c>
      <c r="AL16" s="129">
        <v>-64</v>
      </c>
      <c r="AM16" s="129">
        <v>-64</v>
      </c>
      <c r="AN16" s="129">
        <v>-64</v>
      </c>
      <c r="AO16" s="129">
        <v>-64</v>
      </c>
      <c r="AP16" s="129">
        <v>-64</v>
      </c>
      <c r="AQ16" s="129">
        <v>-64</v>
      </c>
      <c r="AR16" s="129">
        <v>-64</v>
      </c>
      <c r="AS16" s="33">
        <v>-64</v>
      </c>
    </row>
    <row r="17" spans="1:45" x14ac:dyDescent="0.2">
      <c r="A17" s="232"/>
      <c r="B17" s="222" t="str">
        <f t="shared" si="0"/>
        <v>5.3.1 / 7.3.1</v>
      </c>
      <c r="C17" s="222"/>
      <c r="D17" s="105" t="s">
        <v>280</v>
      </c>
      <c r="E17" s="105" t="str">
        <f t="shared" si="1"/>
        <v>N/A</v>
      </c>
      <c r="F17" s="105">
        <f t="shared" si="2"/>
        <v>-74</v>
      </c>
      <c r="G17" s="105" t="s">
        <v>281</v>
      </c>
      <c r="H17" s="105">
        <v>1</v>
      </c>
      <c r="I17" s="168"/>
      <c r="J17" s="168"/>
      <c r="K17" s="169"/>
      <c r="M17" s="143" t="s">
        <v>503</v>
      </c>
      <c r="N17" s="144" t="s">
        <v>521</v>
      </c>
      <c r="O17" s="144" t="s">
        <v>430</v>
      </c>
      <c r="P17" s="144" t="s">
        <v>429</v>
      </c>
      <c r="Q17" s="144" t="s">
        <v>427</v>
      </c>
      <c r="R17" s="145" t="s">
        <v>482</v>
      </c>
      <c r="T17" s="72" t="s">
        <v>143</v>
      </c>
      <c r="U17" s="129" t="s">
        <v>143</v>
      </c>
      <c r="V17" s="129" t="s">
        <v>143</v>
      </c>
      <c r="W17" s="129" t="s">
        <v>143</v>
      </c>
      <c r="X17" s="129" t="s">
        <v>143</v>
      </c>
      <c r="Y17" s="129" t="s">
        <v>143</v>
      </c>
      <c r="Z17" s="129" t="s">
        <v>143</v>
      </c>
      <c r="AA17" s="129" t="s">
        <v>143</v>
      </c>
      <c r="AB17" s="129" t="s">
        <v>143</v>
      </c>
      <c r="AC17" s="129" t="s">
        <v>143</v>
      </c>
      <c r="AD17" s="129" t="s">
        <v>143</v>
      </c>
      <c r="AE17" s="129" t="s">
        <v>143</v>
      </c>
      <c r="AF17" s="129" t="s">
        <v>143</v>
      </c>
      <c r="AG17" s="129">
        <v>-74</v>
      </c>
      <c r="AH17" s="129">
        <v>-74</v>
      </c>
      <c r="AI17" s="129">
        <v>-74</v>
      </c>
      <c r="AJ17" s="129">
        <v>-74</v>
      </c>
      <c r="AK17" s="129">
        <v>-74</v>
      </c>
      <c r="AL17" s="129">
        <v>-74</v>
      </c>
      <c r="AM17" s="129">
        <v>-74</v>
      </c>
      <c r="AN17" s="129">
        <v>-74</v>
      </c>
      <c r="AO17" s="129">
        <v>-74</v>
      </c>
      <c r="AP17" s="129">
        <v>-74</v>
      </c>
      <c r="AQ17" s="129">
        <v>-74</v>
      </c>
      <c r="AR17" s="129">
        <v>-74</v>
      </c>
      <c r="AS17" s="33">
        <v>-74</v>
      </c>
    </row>
    <row r="18" spans="1:45" x14ac:dyDescent="0.2">
      <c r="A18" s="232"/>
      <c r="B18" s="231" t="str">
        <f t="shared" si="0"/>
        <v>5.3.2 / 7.3.2</v>
      </c>
      <c r="C18" s="231" t="s">
        <v>10</v>
      </c>
      <c r="D18" s="15" t="s">
        <v>84</v>
      </c>
      <c r="E18" s="15" t="str">
        <f t="shared" si="1"/>
        <v>N/A</v>
      </c>
      <c r="F18" s="15">
        <f t="shared" si="2"/>
        <v>-54</v>
      </c>
      <c r="G18" s="15" t="s">
        <v>51</v>
      </c>
      <c r="H18" s="15">
        <v>1</v>
      </c>
      <c r="I18" s="168"/>
      <c r="J18" s="168"/>
      <c r="K18" s="169"/>
      <c r="M18" s="143" t="s">
        <v>506</v>
      </c>
      <c r="N18" s="144" t="s">
        <v>524</v>
      </c>
      <c r="O18" s="144" t="s">
        <v>434</v>
      </c>
      <c r="P18" s="144" t="s">
        <v>433</v>
      </c>
      <c r="Q18" s="144" t="s">
        <v>431</v>
      </c>
      <c r="R18" s="145" t="s">
        <v>484</v>
      </c>
      <c r="T18" s="72" t="s">
        <v>143</v>
      </c>
      <c r="U18" s="129" t="s">
        <v>143</v>
      </c>
      <c r="V18" s="129" t="s">
        <v>143</v>
      </c>
      <c r="W18" s="129" t="s">
        <v>143</v>
      </c>
      <c r="X18" s="129" t="s">
        <v>143</v>
      </c>
      <c r="Y18" s="129" t="s">
        <v>143</v>
      </c>
      <c r="Z18" s="129" t="s">
        <v>143</v>
      </c>
      <c r="AA18" s="129" t="s">
        <v>143</v>
      </c>
      <c r="AB18" s="129" t="s">
        <v>143</v>
      </c>
      <c r="AC18" s="129" t="s">
        <v>143</v>
      </c>
      <c r="AD18" s="129" t="s">
        <v>143</v>
      </c>
      <c r="AE18" s="129" t="s">
        <v>143</v>
      </c>
      <c r="AF18" s="129" t="s">
        <v>143</v>
      </c>
      <c r="AG18" s="129">
        <v>-54</v>
      </c>
      <c r="AH18" s="129">
        <v>-54</v>
      </c>
      <c r="AI18" s="129">
        <v>-54</v>
      </c>
      <c r="AJ18" s="129">
        <v>-54</v>
      </c>
      <c r="AK18" s="129">
        <v>-54</v>
      </c>
      <c r="AL18" s="129">
        <v>-54</v>
      </c>
      <c r="AM18" s="129">
        <v>-54</v>
      </c>
      <c r="AN18" s="129">
        <v>-54</v>
      </c>
      <c r="AO18" s="129">
        <v>-54</v>
      </c>
      <c r="AP18" s="129">
        <v>-54</v>
      </c>
      <c r="AQ18" s="129">
        <v>-54</v>
      </c>
      <c r="AR18" s="129">
        <v>-54</v>
      </c>
      <c r="AS18" s="33">
        <v>-54</v>
      </c>
    </row>
    <row r="19" spans="1:45" x14ac:dyDescent="0.2">
      <c r="A19" s="232"/>
      <c r="B19" s="231" t="str">
        <f t="shared" si="0"/>
        <v>5.3.2 / 7.3.2</v>
      </c>
      <c r="C19" s="231"/>
      <c r="D19" s="105" t="s">
        <v>86</v>
      </c>
      <c r="E19" s="105" t="str">
        <f t="shared" si="1"/>
        <v>N/A</v>
      </c>
      <c r="F19" s="105">
        <f t="shared" si="2"/>
        <v>-57</v>
      </c>
      <c r="G19" s="105" t="s">
        <v>51</v>
      </c>
      <c r="H19" s="105">
        <v>1</v>
      </c>
      <c r="I19" s="168"/>
      <c r="J19" s="168"/>
      <c r="K19" s="169"/>
      <c r="M19" s="143" t="s">
        <v>506</v>
      </c>
      <c r="N19" s="144" t="s">
        <v>524</v>
      </c>
      <c r="O19" s="144" t="s">
        <v>434</v>
      </c>
      <c r="P19" s="144" t="s">
        <v>433</v>
      </c>
      <c r="Q19" s="144" t="s">
        <v>431</v>
      </c>
      <c r="R19" s="145" t="s">
        <v>484</v>
      </c>
      <c r="T19" s="72" t="s">
        <v>143</v>
      </c>
      <c r="U19" s="129" t="s">
        <v>143</v>
      </c>
      <c r="V19" s="129" t="s">
        <v>143</v>
      </c>
      <c r="W19" s="129" t="s">
        <v>143</v>
      </c>
      <c r="X19" s="129" t="s">
        <v>143</v>
      </c>
      <c r="Y19" s="129" t="s">
        <v>143</v>
      </c>
      <c r="Z19" s="129" t="s">
        <v>143</v>
      </c>
      <c r="AA19" s="129" t="s">
        <v>143</v>
      </c>
      <c r="AB19" s="129" t="s">
        <v>143</v>
      </c>
      <c r="AC19" s="129" t="s">
        <v>143</v>
      </c>
      <c r="AD19" s="129" t="s">
        <v>143</v>
      </c>
      <c r="AE19" s="129" t="s">
        <v>143</v>
      </c>
      <c r="AF19" s="129" t="s">
        <v>143</v>
      </c>
      <c r="AG19" s="129">
        <v>-57</v>
      </c>
      <c r="AH19" s="129">
        <v>-57</v>
      </c>
      <c r="AI19" s="129">
        <v>-57</v>
      </c>
      <c r="AJ19" s="129">
        <v>-57</v>
      </c>
      <c r="AK19" s="129">
        <v>-57</v>
      </c>
      <c r="AL19" s="129">
        <v>-57</v>
      </c>
      <c r="AM19" s="129">
        <v>-57</v>
      </c>
      <c r="AN19" s="129">
        <v>-57</v>
      </c>
      <c r="AO19" s="129">
        <v>-57</v>
      </c>
      <c r="AP19" s="129">
        <v>-57</v>
      </c>
      <c r="AQ19" s="129">
        <v>-57</v>
      </c>
      <c r="AR19" s="129">
        <v>-57</v>
      </c>
      <c r="AS19" s="33">
        <v>-57</v>
      </c>
    </row>
    <row r="20" spans="1:45" x14ac:dyDescent="0.2">
      <c r="A20" s="232"/>
      <c r="B20" s="231" t="str">
        <f t="shared" si="0"/>
        <v>5.3.2 / 7.3.2</v>
      </c>
      <c r="C20" s="231"/>
      <c r="D20" s="15" t="s">
        <v>280</v>
      </c>
      <c r="E20" s="15" t="str">
        <f t="shared" si="1"/>
        <v>N/A</v>
      </c>
      <c r="F20" s="15">
        <f t="shared" si="2"/>
        <v>-60</v>
      </c>
      <c r="G20" s="15" t="s">
        <v>51</v>
      </c>
      <c r="H20" s="15">
        <v>1</v>
      </c>
      <c r="I20" s="168"/>
      <c r="J20" s="168"/>
      <c r="K20" s="169"/>
      <c r="M20" s="143" t="s">
        <v>506</v>
      </c>
      <c r="N20" s="144" t="s">
        <v>524</v>
      </c>
      <c r="O20" s="144" t="s">
        <v>434</v>
      </c>
      <c r="P20" s="144" t="s">
        <v>433</v>
      </c>
      <c r="Q20" s="144" t="s">
        <v>431</v>
      </c>
      <c r="R20" s="145" t="s">
        <v>484</v>
      </c>
      <c r="T20" s="72" t="s">
        <v>143</v>
      </c>
      <c r="U20" s="129" t="s">
        <v>143</v>
      </c>
      <c r="V20" s="129" t="s">
        <v>143</v>
      </c>
      <c r="W20" s="129" t="s">
        <v>143</v>
      </c>
      <c r="X20" s="129" t="s">
        <v>143</v>
      </c>
      <c r="Y20" s="129" t="s">
        <v>143</v>
      </c>
      <c r="Z20" s="129" t="s">
        <v>143</v>
      </c>
      <c r="AA20" s="129" t="s">
        <v>143</v>
      </c>
      <c r="AB20" s="129" t="s">
        <v>143</v>
      </c>
      <c r="AC20" s="129" t="s">
        <v>143</v>
      </c>
      <c r="AD20" s="129" t="s">
        <v>143</v>
      </c>
      <c r="AE20" s="129" t="s">
        <v>143</v>
      </c>
      <c r="AF20" s="129" t="s">
        <v>143</v>
      </c>
      <c r="AG20" s="129">
        <v>-60</v>
      </c>
      <c r="AH20" s="129">
        <v>-60</v>
      </c>
      <c r="AI20" s="129">
        <v>-60</v>
      </c>
      <c r="AJ20" s="129">
        <v>-60</v>
      </c>
      <c r="AK20" s="129">
        <v>-60</v>
      </c>
      <c r="AL20" s="129">
        <v>-60</v>
      </c>
      <c r="AM20" s="129">
        <v>-60</v>
      </c>
      <c r="AN20" s="129">
        <v>-60</v>
      </c>
      <c r="AO20" s="129">
        <v>-60</v>
      </c>
      <c r="AP20" s="129">
        <v>-60</v>
      </c>
      <c r="AQ20" s="129">
        <v>-60</v>
      </c>
      <c r="AR20" s="129">
        <v>-60</v>
      </c>
      <c r="AS20" s="33">
        <v>-60</v>
      </c>
    </row>
    <row r="21" spans="1:45" x14ac:dyDescent="0.2">
      <c r="A21" s="232" t="s">
        <v>12</v>
      </c>
      <c r="B21" s="15" t="str">
        <f t="shared" si="0"/>
        <v>5.4.1 / 7.4.1</v>
      </c>
      <c r="C21" s="15" t="s">
        <v>11</v>
      </c>
      <c r="D21" s="15"/>
      <c r="E21" s="15">
        <f t="shared" si="1"/>
        <v>2</v>
      </c>
      <c r="F21" s="15" t="str">
        <f t="shared" si="2"/>
        <v>N/A</v>
      </c>
      <c r="G21" s="15" t="s">
        <v>49</v>
      </c>
      <c r="H21" s="15">
        <v>1</v>
      </c>
      <c r="I21" s="168"/>
      <c r="J21" s="168"/>
      <c r="K21" s="169"/>
      <c r="M21" s="143" t="s">
        <v>507</v>
      </c>
      <c r="N21" s="144" t="s">
        <v>525</v>
      </c>
      <c r="O21" s="144" t="s">
        <v>439</v>
      </c>
      <c r="P21" s="144" t="s">
        <v>438</v>
      </c>
      <c r="Q21" s="144" t="s">
        <v>463</v>
      </c>
      <c r="R21" s="145" t="s">
        <v>486</v>
      </c>
      <c r="T21" s="72">
        <v>2</v>
      </c>
      <c r="U21" s="129">
        <v>2</v>
      </c>
      <c r="V21" s="129">
        <v>2</v>
      </c>
      <c r="W21" s="129">
        <v>2</v>
      </c>
      <c r="X21" s="129">
        <v>2</v>
      </c>
      <c r="Y21" s="129">
        <v>2</v>
      </c>
      <c r="Z21" s="129">
        <v>2</v>
      </c>
      <c r="AA21" s="129">
        <v>2</v>
      </c>
      <c r="AB21" s="129">
        <v>2</v>
      </c>
      <c r="AC21" s="129">
        <v>2</v>
      </c>
      <c r="AD21" s="129">
        <v>2</v>
      </c>
      <c r="AE21" s="129">
        <v>2</v>
      </c>
      <c r="AF21" s="129">
        <v>2</v>
      </c>
      <c r="AG21" s="129" t="s">
        <v>143</v>
      </c>
      <c r="AH21" s="129" t="s">
        <v>143</v>
      </c>
      <c r="AI21" s="129" t="s">
        <v>143</v>
      </c>
      <c r="AJ21" s="129" t="s">
        <v>143</v>
      </c>
      <c r="AK21" s="129" t="s">
        <v>143</v>
      </c>
      <c r="AL21" s="129" t="s">
        <v>143</v>
      </c>
      <c r="AM21" s="129" t="s">
        <v>143</v>
      </c>
      <c r="AN21" s="129" t="s">
        <v>143</v>
      </c>
      <c r="AO21" s="129" t="s">
        <v>143</v>
      </c>
      <c r="AP21" s="129" t="s">
        <v>143</v>
      </c>
      <c r="AQ21" s="129" t="s">
        <v>143</v>
      </c>
      <c r="AR21" s="129" t="s">
        <v>143</v>
      </c>
      <c r="AS21" s="33" t="s">
        <v>143</v>
      </c>
    </row>
    <row r="22" spans="1:45" x14ac:dyDescent="0.2">
      <c r="A22" s="232"/>
      <c r="B22" s="231" t="str">
        <f t="shared" si="0"/>
        <v>5.4.2 / 7.4.2</v>
      </c>
      <c r="C22" s="231" t="s">
        <v>10</v>
      </c>
      <c r="D22" s="15" t="s">
        <v>74</v>
      </c>
      <c r="E22" s="15">
        <f t="shared" si="1"/>
        <v>1</v>
      </c>
      <c r="F22" s="15" t="str">
        <f t="shared" si="2"/>
        <v>N/A</v>
      </c>
      <c r="G22" s="15" t="s">
        <v>49</v>
      </c>
      <c r="H22" s="15">
        <v>1</v>
      </c>
      <c r="I22" s="168"/>
      <c r="J22" s="168"/>
      <c r="K22" s="169"/>
      <c r="M22" s="143" t="s">
        <v>508</v>
      </c>
      <c r="N22" s="144" t="s">
        <v>525</v>
      </c>
      <c r="O22" s="144" t="s">
        <v>439</v>
      </c>
      <c r="P22" s="144" t="s">
        <v>440</v>
      </c>
      <c r="Q22" s="144" t="s">
        <v>460</v>
      </c>
      <c r="R22" s="145" t="s">
        <v>488</v>
      </c>
      <c r="T22" s="72">
        <v>1</v>
      </c>
      <c r="U22" s="129">
        <v>1</v>
      </c>
      <c r="V22" s="129">
        <v>1</v>
      </c>
      <c r="W22" s="129">
        <v>1</v>
      </c>
      <c r="X22" s="129">
        <v>1</v>
      </c>
      <c r="Y22" s="129">
        <v>1</v>
      </c>
      <c r="Z22" s="129">
        <v>1</v>
      </c>
      <c r="AA22" s="129">
        <v>1</v>
      </c>
      <c r="AB22" s="129">
        <v>1</v>
      </c>
      <c r="AC22" s="129">
        <v>1</v>
      </c>
      <c r="AD22" s="129">
        <v>1</v>
      </c>
      <c r="AE22" s="129">
        <v>1</v>
      </c>
      <c r="AF22" s="129">
        <v>1</v>
      </c>
      <c r="AG22" s="129" t="s">
        <v>143</v>
      </c>
      <c r="AH22" s="129" t="s">
        <v>143</v>
      </c>
      <c r="AI22" s="129" t="s">
        <v>143</v>
      </c>
      <c r="AJ22" s="129" t="s">
        <v>143</v>
      </c>
      <c r="AK22" s="129" t="s">
        <v>143</v>
      </c>
      <c r="AL22" s="129" t="s">
        <v>143</v>
      </c>
      <c r="AM22" s="129" t="s">
        <v>143</v>
      </c>
      <c r="AN22" s="129" t="s">
        <v>143</v>
      </c>
      <c r="AO22" s="129" t="s">
        <v>143</v>
      </c>
      <c r="AP22" s="129" t="s">
        <v>143</v>
      </c>
      <c r="AQ22" s="129" t="s">
        <v>143</v>
      </c>
      <c r="AR22" s="129" t="s">
        <v>143</v>
      </c>
      <c r="AS22" s="33" t="s">
        <v>143</v>
      </c>
    </row>
    <row r="23" spans="1:45" x14ac:dyDescent="0.2">
      <c r="A23" s="232"/>
      <c r="B23" s="231" t="str">
        <f t="shared" si="0"/>
        <v>5.4.2 / 7.4.2</v>
      </c>
      <c r="C23" s="231"/>
      <c r="D23" s="15" t="s">
        <v>566</v>
      </c>
      <c r="E23" s="15">
        <f t="shared" si="1"/>
        <v>2</v>
      </c>
      <c r="F23" s="15" t="str">
        <f t="shared" si="2"/>
        <v>N/A</v>
      </c>
      <c r="G23" s="15" t="s">
        <v>49</v>
      </c>
      <c r="H23" s="15">
        <v>1</v>
      </c>
      <c r="I23" s="168"/>
      <c r="J23" s="168"/>
      <c r="K23" s="169"/>
      <c r="M23" s="143" t="s">
        <v>508</v>
      </c>
      <c r="N23" s="144" t="s">
        <v>526</v>
      </c>
      <c r="O23" s="144" t="s">
        <v>539</v>
      </c>
      <c r="P23" s="144" t="s">
        <v>440</v>
      </c>
      <c r="Q23" s="144" t="s">
        <v>460</v>
      </c>
      <c r="R23" s="145" t="s">
        <v>488</v>
      </c>
      <c r="T23" s="72">
        <v>2</v>
      </c>
      <c r="U23" s="129">
        <v>2</v>
      </c>
      <c r="V23" s="129">
        <v>2</v>
      </c>
      <c r="W23" s="129">
        <v>2</v>
      </c>
      <c r="X23" s="129">
        <v>2</v>
      </c>
      <c r="Y23" s="129">
        <v>2</v>
      </c>
      <c r="Z23" s="129">
        <v>1</v>
      </c>
      <c r="AA23" s="129">
        <v>2</v>
      </c>
      <c r="AB23" s="129">
        <v>2</v>
      </c>
      <c r="AC23" s="129">
        <v>2</v>
      </c>
      <c r="AD23" s="129">
        <v>2</v>
      </c>
      <c r="AE23" s="129">
        <v>2</v>
      </c>
      <c r="AF23" s="129">
        <v>1</v>
      </c>
      <c r="AG23" s="129" t="s">
        <v>143</v>
      </c>
      <c r="AH23" s="129" t="s">
        <v>143</v>
      </c>
      <c r="AI23" s="129" t="s">
        <v>143</v>
      </c>
      <c r="AJ23" s="129" t="s">
        <v>143</v>
      </c>
      <c r="AK23" s="129" t="s">
        <v>143</v>
      </c>
      <c r="AL23" s="129" t="s">
        <v>143</v>
      </c>
      <c r="AM23" s="129" t="s">
        <v>143</v>
      </c>
      <c r="AN23" s="129" t="s">
        <v>143</v>
      </c>
      <c r="AO23" s="129" t="s">
        <v>143</v>
      </c>
      <c r="AP23" s="129" t="s">
        <v>143</v>
      </c>
      <c r="AQ23" s="129" t="s">
        <v>143</v>
      </c>
      <c r="AR23" s="129" t="s">
        <v>143</v>
      </c>
      <c r="AS23" s="33" t="s">
        <v>143</v>
      </c>
    </row>
    <row r="24" spans="1:45" x14ac:dyDescent="0.2">
      <c r="A24" s="232"/>
      <c r="B24" s="231" t="str">
        <f t="shared" si="0"/>
        <v>× / 7.4.2</v>
      </c>
      <c r="C24" s="231"/>
      <c r="D24" s="131" t="s">
        <v>565</v>
      </c>
      <c r="E24" s="131" t="str">
        <f t="shared" si="1"/>
        <v>N/A</v>
      </c>
      <c r="F24" s="131" t="str">
        <f t="shared" si="2"/>
        <v>N/A</v>
      </c>
      <c r="G24" s="131" t="s">
        <v>49</v>
      </c>
      <c r="H24" s="131">
        <v>1</v>
      </c>
      <c r="I24" s="168"/>
      <c r="J24" s="168"/>
      <c r="K24" s="169"/>
      <c r="M24" s="143" t="s">
        <v>515</v>
      </c>
      <c r="N24" s="144" t="s">
        <v>515</v>
      </c>
      <c r="O24" s="144" t="s">
        <v>539</v>
      </c>
      <c r="P24" s="144" t="s">
        <v>440</v>
      </c>
      <c r="Q24" s="144" t="s">
        <v>460</v>
      </c>
      <c r="R24" s="145" t="s">
        <v>488</v>
      </c>
      <c r="T24" s="72" t="s">
        <v>567</v>
      </c>
      <c r="U24" s="129" t="s">
        <v>567</v>
      </c>
      <c r="V24" s="129" t="s">
        <v>567</v>
      </c>
      <c r="W24" s="129" t="s">
        <v>567</v>
      </c>
      <c r="X24" s="129" t="s">
        <v>567</v>
      </c>
      <c r="Y24" s="129" t="s">
        <v>567</v>
      </c>
      <c r="Z24" s="129">
        <v>1</v>
      </c>
      <c r="AA24" s="129" t="s">
        <v>567</v>
      </c>
      <c r="AB24" s="129" t="s">
        <v>567</v>
      </c>
      <c r="AC24" s="129" t="s">
        <v>567</v>
      </c>
      <c r="AD24" s="129" t="s">
        <v>567</v>
      </c>
      <c r="AE24" s="129" t="s">
        <v>567</v>
      </c>
      <c r="AF24" s="129">
        <v>1</v>
      </c>
      <c r="AG24" s="129" t="s">
        <v>143</v>
      </c>
      <c r="AH24" s="129" t="s">
        <v>143</v>
      </c>
      <c r="AI24" s="129" t="s">
        <v>143</v>
      </c>
      <c r="AJ24" s="129" t="s">
        <v>143</v>
      </c>
      <c r="AK24" s="129" t="s">
        <v>143</v>
      </c>
      <c r="AL24" s="129" t="s">
        <v>143</v>
      </c>
      <c r="AM24" s="129" t="s">
        <v>143</v>
      </c>
      <c r="AN24" s="129" t="s">
        <v>143</v>
      </c>
      <c r="AO24" s="129" t="s">
        <v>143</v>
      </c>
      <c r="AP24" s="129" t="s">
        <v>143</v>
      </c>
      <c r="AQ24" s="129" t="s">
        <v>143</v>
      </c>
      <c r="AR24" s="129" t="s">
        <v>143</v>
      </c>
      <c r="AS24" s="33" t="s">
        <v>143</v>
      </c>
    </row>
    <row r="25" spans="1:45" x14ac:dyDescent="0.2">
      <c r="A25" s="232"/>
      <c r="B25" s="231" t="str">
        <f t="shared" si="0"/>
        <v>5.4.2 / 7.4.2</v>
      </c>
      <c r="C25" s="231"/>
      <c r="D25" s="15" t="s">
        <v>87</v>
      </c>
      <c r="E25" s="15">
        <f t="shared" si="1"/>
        <v>2</v>
      </c>
      <c r="F25" s="15" t="str">
        <f t="shared" si="2"/>
        <v>N/A</v>
      </c>
      <c r="G25" s="15" t="s">
        <v>49</v>
      </c>
      <c r="H25" s="15">
        <v>1</v>
      </c>
      <c r="I25" s="168"/>
      <c r="J25" s="168"/>
      <c r="K25" s="169"/>
      <c r="M25" s="143" t="s">
        <v>508</v>
      </c>
      <c r="N25" s="144" t="s">
        <v>526</v>
      </c>
      <c r="O25" s="144" t="s">
        <v>539</v>
      </c>
      <c r="P25" s="144" t="s">
        <v>440</v>
      </c>
      <c r="Q25" s="144" t="s">
        <v>460</v>
      </c>
      <c r="R25" s="145" t="s">
        <v>488</v>
      </c>
      <c r="T25" s="72">
        <v>2</v>
      </c>
      <c r="U25" s="129">
        <v>2</v>
      </c>
      <c r="V25" s="129">
        <v>2</v>
      </c>
      <c r="W25" s="129">
        <v>2</v>
      </c>
      <c r="X25" s="129">
        <v>2</v>
      </c>
      <c r="Y25" s="129">
        <v>2</v>
      </c>
      <c r="Z25" s="129">
        <v>2</v>
      </c>
      <c r="AA25" s="129">
        <v>2</v>
      </c>
      <c r="AB25" s="129">
        <v>2</v>
      </c>
      <c r="AC25" s="129">
        <v>2</v>
      </c>
      <c r="AD25" s="129">
        <v>2</v>
      </c>
      <c r="AE25" s="129">
        <v>2</v>
      </c>
      <c r="AF25" s="129">
        <v>2</v>
      </c>
      <c r="AG25" s="129" t="s">
        <v>143</v>
      </c>
      <c r="AH25" s="129" t="s">
        <v>143</v>
      </c>
      <c r="AI25" s="129" t="s">
        <v>143</v>
      </c>
      <c r="AJ25" s="129" t="s">
        <v>143</v>
      </c>
      <c r="AK25" s="129" t="s">
        <v>143</v>
      </c>
      <c r="AL25" s="129" t="s">
        <v>143</v>
      </c>
      <c r="AM25" s="129" t="s">
        <v>143</v>
      </c>
      <c r="AN25" s="129" t="s">
        <v>143</v>
      </c>
      <c r="AO25" s="129" t="s">
        <v>143</v>
      </c>
      <c r="AP25" s="129" t="s">
        <v>143</v>
      </c>
      <c r="AQ25" s="129" t="s">
        <v>143</v>
      </c>
      <c r="AR25" s="129" t="s">
        <v>143</v>
      </c>
      <c r="AS25" s="33" t="s">
        <v>143</v>
      </c>
    </row>
    <row r="26" spans="1:45" x14ac:dyDescent="0.2">
      <c r="A26" s="232" t="s">
        <v>68</v>
      </c>
      <c r="B26" s="231" t="str">
        <f t="shared" si="0"/>
        <v>5.5.1 / 7.5.1</v>
      </c>
      <c r="C26" s="231" t="s">
        <v>3</v>
      </c>
      <c r="D26" s="15" t="s">
        <v>74</v>
      </c>
      <c r="E26" s="15">
        <f t="shared" si="1"/>
        <v>10</v>
      </c>
      <c r="F26" s="15">
        <f t="shared" si="2"/>
        <v>23</v>
      </c>
      <c r="G26" s="15" t="s">
        <v>49</v>
      </c>
      <c r="H26" s="15">
        <v>3</v>
      </c>
      <c r="I26" s="168"/>
      <c r="J26" s="168"/>
      <c r="K26" s="169"/>
      <c r="M26" s="143" t="s">
        <v>509</v>
      </c>
      <c r="N26" s="144" t="s">
        <v>527</v>
      </c>
      <c r="O26" s="144" t="s">
        <v>541</v>
      </c>
      <c r="P26" s="144" t="s">
        <v>541</v>
      </c>
      <c r="Q26" s="144" t="s">
        <v>580</v>
      </c>
      <c r="R26" s="145" t="s">
        <v>586</v>
      </c>
      <c r="T26" s="72">
        <v>10</v>
      </c>
      <c r="U26" s="129">
        <v>10</v>
      </c>
      <c r="V26" s="129">
        <v>10</v>
      </c>
      <c r="W26" s="129">
        <v>10</v>
      </c>
      <c r="X26" s="129">
        <v>10</v>
      </c>
      <c r="Y26" s="129">
        <v>10</v>
      </c>
      <c r="Z26" s="129">
        <v>10</v>
      </c>
      <c r="AA26" s="129">
        <v>10</v>
      </c>
      <c r="AB26" s="129">
        <v>10</v>
      </c>
      <c r="AC26" s="129">
        <v>10</v>
      </c>
      <c r="AD26" s="129">
        <v>10</v>
      </c>
      <c r="AE26" s="129">
        <v>10</v>
      </c>
      <c r="AF26" s="129">
        <v>10</v>
      </c>
      <c r="AG26" s="129">
        <v>23</v>
      </c>
      <c r="AH26" s="129">
        <v>23</v>
      </c>
      <c r="AI26" s="129">
        <v>23</v>
      </c>
      <c r="AJ26" s="129">
        <v>23</v>
      </c>
      <c r="AK26" s="129">
        <v>23</v>
      </c>
      <c r="AL26" s="129">
        <v>23</v>
      </c>
      <c r="AM26" s="129">
        <v>23</v>
      </c>
      <c r="AN26" s="129">
        <v>23</v>
      </c>
      <c r="AO26" s="129">
        <v>23</v>
      </c>
      <c r="AP26" s="129">
        <v>23</v>
      </c>
      <c r="AQ26" s="129">
        <v>23</v>
      </c>
      <c r="AR26" s="129">
        <v>23</v>
      </c>
      <c r="AS26" s="33">
        <v>23</v>
      </c>
    </row>
    <row r="27" spans="1:45" x14ac:dyDescent="0.2">
      <c r="A27" s="232"/>
      <c r="B27" s="231" t="str">
        <f t="shared" si="0"/>
        <v>5.5.1 / 7.5.1</v>
      </c>
      <c r="C27" s="231"/>
      <c r="D27" s="15" t="s">
        <v>76</v>
      </c>
      <c r="E27" s="15">
        <f t="shared" si="1"/>
        <v>15</v>
      </c>
      <c r="F27" s="15">
        <f t="shared" si="2"/>
        <v>23</v>
      </c>
      <c r="G27" s="15" t="s">
        <v>49</v>
      </c>
      <c r="H27" s="15">
        <v>3</v>
      </c>
      <c r="I27" s="168"/>
      <c r="J27" s="168"/>
      <c r="K27" s="169"/>
      <c r="M27" s="143" t="s">
        <v>509</v>
      </c>
      <c r="N27" s="144" t="s">
        <v>527</v>
      </c>
      <c r="O27" s="144" t="s">
        <v>540</v>
      </c>
      <c r="P27" s="144" t="s">
        <v>540</v>
      </c>
      <c r="Q27" s="144" t="s">
        <v>465</v>
      </c>
      <c r="R27" s="145" t="s">
        <v>585</v>
      </c>
      <c r="T27" s="72">
        <v>15</v>
      </c>
      <c r="U27" s="129">
        <v>15</v>
      </c>
      <c r="V27" s="129">
        <v>15</v>
      </c>
      <c r="W27" s="129">
        <v>15</v>
      </c>
      <c r="X27" s="129">
        <v>15</v>
      </c>
      <c r="Y27" s="129">
        <v>15</v>
      </c>
      <c r="Z27" s="129">
        <v>15</v>
      </c>
      <c r="AA27" s="129">
        <v>15</v>
      </c>
      <c r="AB27" s="129">
        <v>15</v>
      </c>
      <c r="AC27" s="129">
        <v>15</v>
      </c>
      <c r="AD27" s="129">
        <v>15</v>
      </c>
      <c r="AE27" s="129">
        <v>15</v>
      </c>
      <c r="AF27" s="129">
        <v>15</v>
      </c>
      <c r="AG27" s="129">
        <v>23</v>
      </c>
      <c r="AH27" s="129">
        <v>23</v>
      </c>
      <c r="AI27" s="129">
        <v>23</v>
      </c>
      <c r="AJ27" s="129">
        <v>23</v>
      </c>
      <c r="AK27" s="129">
        <v>23</v>
      </c>
      <c r="AL27" s="129">
        <v>23</v>
      </c>
      <c r="AM27" s="129">
        <v>23</v>
      </c>
      <c r="AN27" s="129">
        <v>23</v>
      </c>
      <c r="AO27" s="129">
        <v>23</v>
      </c>
      <c r="AP27" s="129">
        <v>23</v>
      </c>
      <c r="AQ27" s="129">
        <v>23</v>
      </c>
      <c r="AR27" s="129">
        <v>23</v>
      </c>
      <c r="AS27" s="33">
        <v>23</v>
      </c>
    </row>
    <row r="28" spans="1:45" x14ac:dyDescent="0.2">
      <c r="A28" s="232"/>
      <c r="B28" s="231" t="str">
        <f t="shared" si="0"/>
        <v>5.5.1 / 7.5.1</v>
      </c>
      <c r="C28" s="231"/>
      <c r="D28" s="15" t="s">
        <v>87</v>
      </c>
      <c r="E28" s="15">
        <f t="shared" si="1"/>
        <v>10</v>
      </c>
      <c r="F28" s="15">
        <f t="shared" si="2"/>
        <v>23</v>
      </c>
      <c r="G28" s="15" t="s">
        <v>49</v>
      </c>
      <c r="H28" s="15">
        <v>3</v>
      </c>
      <c r="I28" s="168"/>
      <c r="J28" s="168"/>
      <c r="K28" s="169"/>
      <c r="M28" s="143" t="s">
        <v>509</v>
      </c>
      <c r="N28" s="144" t="s">
        <v>527</v>
      </c>
      <c r="O28" s="144" t="s">
        <v>540</v>
      </c>
      <c r="P28" s="144" t="s">
        <v>540</v>
      </c>
      <c r="Q28" s="144" t="s">
        <v>465</v>
      </c>
      <c r="R28" s="145" t="s">
        <v>585</v>
      </c>
      <c r="T28" s="72">
        <v>10</v>
      </c>
      <c r="U28" s="129">
        <v>10</v>
      </c>
      <c r="V28" s="129">
        <v>10</v>
      </c>
      <c r="W28" s="129">
        <v>10</v>
      </c>
      <c r="X28" s="129">
        <v>10</v>
      </c>
      <c r="Y28" s="129">
        <v>10</v>
      </c>
      <c r="Z28" s="129">
        <v>10</v>
      </c>
      <c r="AA28" s="129">
        <v>10</v>
      </c>
      <c r="AB28" s="129">
        <v>10</v>
      </c>
      <c r="AC28" s="129">
        <v>10</v>
      </c>
      <c r="AD28" s="129">
        <v>10</v>
      </c>
      <c r="AE28" s="129">
        <v>10</v>
      </c>
      <c r="AF28" s="129">
        <v>10</v>
      </c>
      <c r="AG28" s="129">
        <v>23</v>
      </c>
      <c r="AH28" s="129">
        <v>23</v>
      </c>
      <c r="AI28" s="129">
        <v>23</v>
      </c>
      <c r="AJ28" s="129">
        <v>23</v>
      </c>
      <c r="AK28" s="129">
        <v>23</v>
      </c>
      <c r="AL28" s="129">
        <v>23</v>
      </c>
      <c r="AM28" s="129">
        <v>23</v>
      </c>
      <c r="AN28" s="129">
        <v>23</v>
      </c>
      <c r="AO28" s="129">
        <v>23</v>
      </c>
      <c r="AP28" s="129">
        <v>23</v>
      </c>
      <c r="AQ28" s="129">
        <v>23</v>
      </c>
      <c r="AR28" s="129">
        <v>23</v>
      </c>
      <c r="AS28" s="33">
        <v>23</v>
      </c>
    </row>
    <row r="29" spans="1:45" x14ac:dyDescent="0.2">
      <c r="A29" s="232"/>
      <c r="B29" s="15" t="str">
        <f t="shared" si="0"/>
        <v>5.5.2 / 7.5.4</v>
      </c>
      <c r="C29" s="15" t="s">
        <v>4</v>
      </c>
      <c r="D29" s="15"/>
      <c r="E29" s="15">
        <f t="shared" si="1"/>
        <v>0</v>
      </c>
      <c r="F29" s="15">
        <f t="shared" si="2"/>
        <v>5</v>
      </c>
      <c r="G29" s="15" t="s">
        <v>52</v>
      </c>
      <c r="H29" s="15">
        <v>1</v>
      </c>
      <c r="I29" s="168"/>
      <c r="J29" s="168"/>
      <c r="K29" s="169"/>
      <c r="M29" s="143" t="s">
        <v>510</v>
      </c>
      <c r="N29" s="144" t="s">
        <v>528</v>
      </c>
      <c r="O29" s="144" t="s">
        <v>442</v>
      </c>
      <c r="P29" s="144" t="s">
        <v>443</v>
      </c>
      <c r="Q29" s="144" t="s">
        <v>467</v>
      </c>
      <c r="R29" s="145" t="s">
        <v>491</v>
      </c>
      <c r="T29" s="72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0</v>
      </c>
      <c r="AB29" s="129">
        <v>0</v>
      </c>
      <c r="AC29" s="129">
        <v>0</v>
      </c>
      <c r="AD29" s="129">
        <v>0</v>
      </c>
      <c r="AE29" s="129">
        <v>0</v>
      </c>
      <c r="AF29" s="129">
        <v>0</v>
      </c>
      <c r="AG29" s="129">
        <v>5</v>
      </c>
      <c r="AH29" s="129">
        <v>5</v>
      </c>
      <c r="AI29" s="129">
        <v>5</v>
      </c>
      <c r="AJ29" s="129">
        <v>5</v>
      </c>
      <c r="AK29" s="129">
        <v>5</v>
      </c>
      <c r="AL29" s="129">
        <v>5</v>
      </c>
      <c r="AM29" s="129">
        <v>5</v>
      </c>
      <c r="AN29" s="129">
        <v>5</v>
      </c>
      <c r="AO29" s="129">
        <v>5</v>
      </c>
      <c r="AP29" s="129">
        <v>5</v>
      </c>
      <c r="AQ29" s="129">
        <v>5</v>
      </c>
      <c r="AR29" s="129">
        <v>5</v>
      </c>
      <c r="AS29" s="33">
        <v>5</v>
      </c>
    </row>
    <row r="30" spans="1:45" x14ac:dyDescent="0.2">
      <c r="A30" s="78" t="s">
        <v>14</v>
      </c>
      <c r="B30" s="15" t="str">
        <f t="shared" si="0"/>
        <v>5.6 / 7.6</v>
      </c>
      <c r="C30" s="15"/>
      <c r="D30" s="15" t="s">
        <v>74</v>
      </c>
      <c r="E30" s="15">
        <f t="shared" si="1"/>
        <v>6</v>
      </c>
      <c r="F30" s="15" t="str">
        <f t="shared" si="2"/>
        <v>N/A</v>
      </c>
      <c r="G30" s="15" t="s">
        <v>49</v>
      </c>
      <c r="H30" s="15">
        <v>1</v>
      </c>
      <c r="I30" s="168"/>
      <c r="J30" s="168"/>
      <c r="K30" s="169"/>
      <c r="M30" s="143">
        <v>5.6</v>
      </c>
      <c r="N30" s="144">
        <v>6.6</v>
      </c>
      <c r="O30" s="144">
        <v>7.6</v>
      </c>
      <c r="P30" s="144">
        <v>7.6</v>
      </c>
      <c r="Q30" s="144" t="s">
        <v>468</v>
      </c>
      <c r="R30" s="145" t="s">
        <v>492</v>
      </c>
      <c r="T30" s="72">
        <v>6</v>
      </c>
      <c r="U30" s="129">
        <v>6</v>
      </c>
      <c r="V30" s="129">
        <v>6</v>
      </c>
      <c r="W30" s="129">
        <v>6</v>
      </c>
      <c r="X30" s="129">
        <v>6</v>
      </c>
      <c r="Y30" s="129">
        <v>6</v>
      </c>
      <c r="Z30" s="129">
        <v>6</v>
      </c>
      <c r="AA30" s="129">
        <v>6</v>
      </c>
      <c r="AB30" s="129">
        <v>6</v>
      </c>
      <c r="AC30" s="129">
        <v>6</v>
      </c>
      <c r="AD30" s="129">
        <v>6</v>
      </c>
      <c r="AE30" s="129">
        <v>6</v>
      </c>
      <c r="AF30" s="129">
        <v>6</v>
      </c>
      <c r="AG30" s="129" t="s">
        <v>143</v>
      </c>
      <c r="AH30" s="129" t="s">
        <v>143</v>
      </c>
      <c r="AI30" s="129" t="s">
        <v>143</v>
      </c>
      <c r="AJ30" s="129" t="s">
        <v>143</v>
      </c>
      <c r="AK30" s="129" t="s">
        <v>143</v>
      </c>
      <c r="AL30" s="129" t="s">
        <v>143</v>
      </c>
      <c r="AM30" s="129" t="s">
        <v>143</v>
      </c>
      <c r="AN30" s="129" t="s">
        <v>143</v>
      </c>
      <c r="AO30" s="129" t="s">
        <v>143</v>
      </c>
      <c r="AP30" s="129" t="s">
        <v>143</v>
      </c>
      <c r="AQ30" s="129" t="s">
        <v>143</v>
      </c>
      <c r="AR30" s="129" t="s">
        <v>143</v>
      </c>
      <c r="AS30" s="33" t="s">
        <v>143</v>
      </c>
    </row>
    <row r="31" spans="1:45" x14ac:dyDescent="0.2">
      <c r="A31" s="232" t="s">
        <v>15</v>
      </c>
      <c r="B31" s="231" t="str">
        <f t="shared" si="0"/>
        <v>5.7.4 / 7.7.3</v>
      </c>
      <c r="C31" s="231" t="s">
        <v>16</v>
      </c>
      <c r="D31" s="15" t="s">
        <v>74</v>
      </c>
      <c r="E31" s="15">
        <f t="shared" si="1"/>
        <v>46</v>
      </c>
      <c r="F31" s="15" t="str">
        <f t="shared" si="2"/>
        <v>N/A</v>
      </c>
      <c r="G31" s="15" t="s">
        <v>49</v>
      </c>
      <c r="H31" s="15">
        <v>1</v>
      </c>
      <c r="I31" s="168"/>
      <c r="J31" s="168"/>
      <c r="K31" s="169"/>
      <c r="M31" s="143" t="s">
        <v>550</v>
      </c>
      <c r="N31" s="144" t="s">
        <v>558</v>
      </c>
      <c r="O31" s="144" t="s">
        <v>445</v>
      </c>
      <c r="P31" s="144" t="s">
        <v>577</v>
      </c>
      <c r="Q31" s="144" t="s">
        <v>583</v>
      </c>
      <c r="R31" s="145" t="s">
        <v>589</v>
      </c>
      <c r="T31" s="72">
        <v>46</v>
      </c>
      <c r="U31" s="129">
        <v>46</v>
      </c>
      <c r="V31" s="129">
        <v>46</v>
      </c>
      <c r="W31" s="129">
        <v>46</v>
      </c>
      <c r="X31" s="129">
        <v>46</v>
      </c>
      <c r="Y31" s="129">
        <v>46</v>
      </c>
      <c r="Z31" s="129">
        <v>46</v>
      </c>
      <c r="AA31" s="129">
        <v>46</v>
      </c>
      <c r="AB31" s="129">
        <v>46</v>
      </c>
      <c r="AC31" s="129">
        <v>46</v>
      </c>
      <c r="AD31" s="129">
        <v>46</v>
      </c>
      <c r="AE31" s="129">
        <v>46</v>
      </c>
      <c r="AF31" s="129">
        <v>46</v>
      </c>
      <c r="AG31" s="129" t="s">
        <v>143</v>
      </c>
      <c r="AH31" s="129" t="s">
        <v>143</v>
      </c>
      <c r="AI31" s="129" t="s">
        <v>143</v>
      </c>
      <c r="AJ31" s="129" t="s">
        <v>143</v>
      </c>
      <c r="AK31" s="129" t="s">
        <v>143</v>
      </c>
      <c r="AL31" s="129" t="s">
        <v>143</v>
      </c>
      <c r="AM31" s="129" t="s">
        <v>143</v>
      </c>
      <c r="AN31" s="129" t="s">
        <v>143</v>
      </c>
      <c r="AO31" s="129" t="s">
        <v>143</v>
      </c>
      <c r="AP31" s="129" t="s">
        <v>143</v>
      </c>
      <c r="AQ31" s="129" t="s">
        <v>143</v>
      </c>
      <c r="AR31" s="129" t="s">
        <v>143</v>
      </c>
      <c r="AS31" s="33" t="s">
        <v>143</v>
      </c>
    </row>
    <row r="32" spans="1:45" x14ac:dyDescent="0.2">
      <c r="A32" s="232"/>
      <c r="B32" s="231" t="str">
        <f t="shared" si="0"/>
        <v>5.7.4 / 7.7.3</v>
      </c>
      <c r="C32" s="231"/>
      <c r="D32" s="15" t="s">
        <v>76</v>
      </c>
      <c r="E32" s="15">
        <f t="shared" si="1"/>
        <v>55</v>
      </c>
      <c r="F32" s="15" t="str">
        <f t="shared" si="2"/>
        <v>N/A</v>
      </c>
      <c r="G32" s="15" t="s">
        <v>49</v>
      </c>
      <c r="H32" s="15">
        <v>1</v>
      </c>
      <c r="I32" s="168"/>
      <c r="J32" s="168"/>
      <c r="K32" s="169"/>
      <c r="M32" s="143" t="s">
        <v>550</v>
      </c>
      <c r="N32" s="144" t="s">
        <v>558</v>
      </c>
      <c r="O32" s="144" t="s">
        <v>444</v>
      </c>
      <c r="P32" s="144" t="s">
        <v>576</v>
      </c>
      <c r="Q32" s="144" t="s">
        <v>581</v>
      </c>
      <c r="R32" s="145" t="s">
        <v>587</v>
      </c>
      <c r="T32" s="72">
        <v>55</v>
      </c>
      <c r="U32" s="129">
        <v>55</v>
      </c>
      <c r="V32" s="129">
        <v>55</v>
      </c>
      <c r="W32" s="129">
        <v>55</v>
      </c>
      <c r="X32" s="129">
        <v>55</v>
      </c>
      <c r="Y32" s="129">
        <v>55</v>
      </c>
      <c r="Z32" s="129">
        <v>55</v>
      </c>
      <c r="AA32" s="129">
        <v>55</v>
      </c>
      <c r="AB32" s="129">
        <v>55</v>
      </c>
      <c r="AC32" s="129">
        <v>55</v>
      </c>
      <c r="AD32" s="129">
        <v>55</v>
      </c>
      <c r="AE32" s="129">
        <v>55</v>
      </c>
      <c r="AF32" s="129">
        <v>55</v>
      </c>
      <c r="AG32" s="129" t="s">
        <v>143</v>
      </c>
      <c r="AH32" s="129" t="s">
        <v>143</v>
      </c>
      <c r="AI32" s="129" t="s">
        <v>143</v>
      </c>
      <c r="AJ32" s="129" t="s">
        <v>143</v>
      </c>
      <c r="AK32" s="129" t="s">
        <v>143</v>
      </c>
      <c r="AL32" s="129" t="s">
        <v>143</v>
      </c>
      <c r="AM32" s="129" t="s">
        <v>143</v>
      </c>
      <c r="AN32" s="129" t="s">
        <v>143</v>
      </c>
      <c r="AO32" s="129" t="s">
        <v>143</v>
      </c>
      <c r="AP32" s="129" t="s">
        <v>143</v>
      </c>
      <c r="AQ32" s="129" t="s">
        <v>143</v>
      </c>
      <c r="AR32" s="129" t="s">
        <v>143</v>
      </c>
      <c r="AS32" s="33" t="s">
        <v>143</v>
      </c>
    </row>
    <row r="33" spans="1:45" x14ac:dyDescent="0.2">
      <c r="A33" s="232"/>
      <c r="B33" s="231" t="str">
        <f t="shared" si="0"/>
        <v>5.7.4 / 7.7.3</v>
      </c>
      <c r="C33" s="231"/>
      <c r="D33" s="15" t="s">
        <v>87</v>
      </c>
      <c r="E33" s="15">
        <f t="shared" si="1"/>
        <v>46</v>
      </c>
      <c r="F33" s="15" t="str">
        <f t="shared" si="2"/>
        <v>N/A</v>
      </c>
      <c r="G33" s="15" t="s">
        <v>49</v>
      </c>
      <c r="H33" s="15">
        <v>1</v>
      </c>
      <c r="I33" s="168"/>
      <c r="J33" s="168"/>
      <c r="K33" s="169"/>
      <c r="M33" s="143" t="s">
        <v>550</v>
      </c>
      <c r="N33" s="144" t="s">
        <v>558</v>
      </c>
      <c r="O33" s="144" t="s">
        <v>444</v>
      </c>
      <c r="P33" s="144" t="s">
        <v>576</v>
      </c>
      <c r="Q33" s="144" t="s">
        <v>581</v>
      </c>
      <c r="R33" s="145" t="s">
        <v>587</v>
      </c>
      <c r="T33" s="72">
        <v>46</v>
      </c>
      <c r="U33" s="129">
        <v>46</v>
      </c>
      <c r="V33" s="129">
        <v>46</v>
      </c>
      <c r="W33" s="129">
        <v>46</v>
      </c>
      <c r="X33" s="129">
        <v>46</v>
      </c>
      <c r="Y33" s="129">
        <v>46</v>
      </c>
      <c r="Z33" s="129">
        <v>46</v>
      </c>
      <c r="AA33" s="129">
        <v>46</v>
      </c>
      <c r="AB33" s="129">
        <v>46</v>
      </c>
      <c r="AC33" s="129">
        <v>46</v>
      </c>
      <c r="AD33" s="129">
        <v>46</v>
      </c>
      <c r="AE33" s="129">
        <v>46</v>
      </c>
      <c r="AF33" s="129">
        <v>46</v>
      </c>
      <c r="AG33" s="129" t="s">
        <v>143</v>
      </c>
      <c r="AH33" s="129" t="s">
        <v>143</v>
      </c>
      <c r="AI33" s="129" t="s">
        <v>143</v>
      </c>
      <c r="AJ33" s="129" t="s">
        <v>143</v>
      </c>
      <c r="AK33" s="129" t="s">
        <v>143</v>
      </c>
      <c r="AL33" s="129" t="s">
        <v>143</v>
      </c>
      <c r="AM33" s="129" t="s">
        <v>143</v>
      </c>
      <c r="AN33" s="129" t="s">
        <v>143</v>
      </c>
      <c r="AO33" s="129" t="s">
        <v>143</v>
      </c>
      <c r="AP33" s="129" t="s">
        <v>143</v>
      </c>
      <c r="AQ33" s="129" t="s">
        <v>143</v>
      </c>
      <c r="AR33" s="129" t="s">
        <v>143</v>
      </c>
      <c r="AS33" s="33" t="s">
        <v>143</v>
      </c>
    </row>
    <row r="34" spans="1:45" x14ac:dyDescent="0.2">
      <c r="A34" s="232" t="s">
        <v>17</v>
      </c>
      <c r="B34" s="231" t="str">
        <f t="shared" si="0"/>
        <v>5.8.1 / 7.8.1</v>
      </c>
      <c r="C34" s="15" t="s">
        <v>230</v>
      </c>
      <c r="D34" s="15"/>
      <c r="E34" s="15" t="str">
        <f t="shared" si="1"/>
        <v>mask</v>
      </c>
      <c r="F34" s="15" t="str">
        <f t="shared" si="2"/>
        <v>N/A</v>
      </c>
      <c r="G34" s="15" t="s">
        <v>21</v>
      </c>
      <c r="H34" s="15">
        <v>1</v>
      </c>
      <c r="I34" s="180"/>
      <c r="J34" s="180"/>
      <c r="K34" s="181"/>
      <c r="M34" s="143" t="s">
        <v>514</v>
      </c>
      <c r="N34" s="144" t="s">
        <v>531</v>
      </c>
      <c r="O34" s="144" t="s">
        <v>446</v>
      </c>
      <c r="P34" s="144" t="s">
        <v>446</v>
      </c>
      <c r="Q34" s="144" t="s">
        <v>470</v>
      </c>
      <c r="R34" s="145" t="s">
        <v>494</v>
      </c>
      <c r="T34" s="72" t="s">
        <v>144</v>
      </c>
      <c r="U34" s="129" t="s">
        <v>144</v>
      </c>
      <c r="V34" s="129" t="s">
        <v>144</v>
      </c>
      <c r="W34" s="129" t="s">
        <v>144</v>
      </c>
      <c r="X34" s="129" t="s">
        <v>144</v>
      </c>
      <c r="Y34" s="129" t="s">
        <v>144</v>
      </c>
      <c r="Z34" s="129" t="s">
        <v>144</v>
      </c>
      <c r="AA34" s="129" t="s">
        <v>144</v>
      </c>
      <c r="AB34" s="129" t="s">
        <v>144</v>
      </c>
      <c r="AC34" s="129" t="s">
        <v>144</v>
      </c>
      <c r="AD34" s="129" t="s">
        <v>144</v>
      </c>
      <c r="AE34" s="129" t="s">
        <v>144</v>
      </c>
      <c r="AF34" s="129" t="s">
        <v>144</v>
      </c>
      <c r="AG34" s="129" t="s">
        <v>143</v>
      </c>
      <c r="AH34" s="129" t="s">
        <v>143</v>
      </c>
      <c r="AI34" s="129" t="s">
        <v>143</v>
      </c>
      <c r="AJ34" s="129" t="s">
        <v>143</v>
      </c>
      <c r="AK34" s="129" t="s">
        <v>143</v>
      </c>
      <c r="AL34" s="129" t="s">
        <v>143</v>
      </c>
      <c r="AM34" s="129" t="s">
        <v>143</v>
      </c>
      <c r="AN34" s="129" t="s">
        <v>143</v>
      </c>
      <c r="AO34" s="129" t="s">
        <v>143</v>
      </c>
      <c r="AP34" s="129" t="s">
        <v>143</v>
      </c>
      <c r="AQ34" s="129" t="s">
        <v>143</v>
      </c>
      <c r="AR34" s="129" t="s">
        <v>143</v>
      </c>
      <c r="AS34" s="33" t="s">
        <v>143</v>
      </c>
    </row>
    <row r="35" spans="1:45" x14ac:dyDescent="0.2">
      <c r="A35" s="232"/>
      <c r="B35" s="231" t="str">
        <f t="shared" si="0"/>
        <v>× / 7.8.1</v>
      </c>
      <c r="C35" s="98" t="s">
        <v>233</v>
      </c>
      <c r="D35" s="15"/>
      <c r="E35" s="15" t="str">
        <f t="shared" si="1"/>
        <v>mask</v>
      </c>
      <c r="F35" s="15" t="str">
        <f t="shared" si="2"/>
        <v>N/A</v>
      </c>
      <c r="G35" s="15" t="s">
        <v>21</v>
      </c>
      <c r="H35" s="15">
        <v>1</v>
      </c>
      <c r="I35" s="180"/>
      <c r="J35" s="180"/>
      <c r="K35" s="181"/>
      <c r="M35" s="143" t="s">
        <v>515</v>
      </c>
      <c r="N35" s="144" t="s">
        <v>531</v>
      </c>
      <c r="O35" s="144" t="s">
        <v>341</v>
      </c>
      <c r="P35" s="144" t="s">
        <v>446</v>
      </c>
      <c r="Q35" s="144" t="s">
        <v>359</v>
      </c>
      <c r="R35" s="145" t="s">
        <v>366</v>
      </c>
      <c r="T35" s="72" t="s">
        <v>144</v>
      </c>
      <c r="U35" s="129" t="s">
        <v>144</v>
      </c>
      <c r="V35" s="129" t="s">
        <v>144</v>
      </c>
      <c r="W35" s="129" t="s">
        <v>144</v>
      </c>
      <c r="X35" s="129" t="s">
        <v>144</v>
      </c>
      <c r="Y35" s="129" t="s">
        <v>144</v>
      </c>
      <c r="Z35" s="129" t="s">
        <v>144</v>
      </c>
      <c r="AA35" s="129" t="s">
        <v>144</v>
      </c>
      <c r="AB35" s="129" t="s">
        <v>144</v>
      </c>
      <c r="AC35" s="129" t="s">
        <v>144</v>
      </c>
      <c r="AD35" s="129" t="s">
        <v>144</v>
      </c>
      <c r="AE35" s="129" t="s">
        <v>144</v>
      </c>
      <c r="AF35" s="129" t="s">
        <v>144</v>
      </c>
      <c r="AG35" s="129" t="s">
        <v>143</v>
      </c>
      <c r="AH35" s="129" t="s">
        <v>143</v>
      </c>
      <c r="AI35" s="129" t="s">
        <v>143</v>
      </c>
      <c r="AJ35" s="129" t="s">
        <v>143</v>
      </c>
      <c r="AK35" s="129" t="s">
        <v>143</v>
      </c>
      <c r="AL35" s="129" t="s">
        <v>143</v>
      </c>
      <c r="AM35" s="129" t="s">
        <v>143</v>
      </c>
      <c r="AN35" s="129" t="s">
        <v>143</v>
      </c>
      <c r="AO35" s="129" t="s">
        <v>143</v>
      </c>
      <c r="AP35" s="129" t="s">
        <v>143</v>
      </c>
      <c r="AQ35" s="129" t="s">
        <v>143</v>
      </c>
      <c r="AR35" s="129" t="s">
        <v>143</v>
      </c>
      <c r="AS35" s="33" t="s">
        <v>143</v>
      </c>
    </row>
    <row r="36" spans="1:45" x14ac:dyDescent="0.2">
      <c r="A36" s="232"/>
      <c r="B36" s="231" t="str">
        <f t="shared" si="0"/>
        <v>5.8.2 / 7.8.2</v>
      </c>
      <c r="C36" s="231" t="s">
        <v>231</v>
      </c>
      <c r="D36" s="15" t="s">
        <v>77</v>
      </c>
      <c r="E36" s="15" t="str">
        <f t="shared" si="1"/>
        <v>mask</v>
      </c>
      <c r="F36" s="15" t="str">
        <f t="shared" si="2"/>
        <v>N/A</v>
      </c>
      <c r="G36" s="15" t="s">
        <v>21</v>
      </c>
      <c r="H36" s="15">
        <v>1</v>
      </c>
      <c r="I36" s="180"/>
      <c r="J36" s="180"/>
      <c r="K36" s="181"/>
      <c r="M36" s="143" t="s">
        <v>516</v>
      </c>
      <c r="N36" s="144" t="s">
        <v>532</v>
      </c>
      <c r="O36" s="144" t="s">
        <v>448</v>
      </c>
      <c r="P36" s="144" t="s">
        <v>448</v>
      </c>
      <c r="Q36" s="144" t="s">
        <v>471</v>
      </c>
      <c r="R36" s="145" t="s">
        <v>496</v>
      </c>
      <c r="T36" s="72" t="s">
        <v>144</v>
      </c>
      <c r="U36" s="129" t="s">
        <v>144</v>
      </c>
      <c r="V36" s="129" t="s">
        <v>144</v>
      </c>
      <c r="W36" s="129" t="s">
        <v>144</v>
      </c>
      <c r="X36" s="129" t="s">
        <v>144</v>
      </c>
      <c r="Y36" s="129" t="s">
        <v>144</v>
      </c>
      <c r="Z36" s="129" t="s">
        <v>144</v>
      </c>
      <c r="AA36" s="129" t="s">
        <v>144</v>
      </c>
      <c r="AB36" s="129" t="s">
        <v>144</v>
      </c>
      <c r="AC36" s="129" t="s">
        <v>144</v>
      </c>
      <c r="AD36" s="129" t="s">
        <v>144</v>
      </c>
      <c r="AE36" s="129" t="s">
        <v>144</v>
      </c>
      <c r="AF36" s="129" t="s">
        <v>144</v>
      </c>
      <c r="AG36" s="129" t="s">
        <v>143</v>
      </c>
      <c r="AH36" s="129" t="s">
        <v>143</v>
      </c>
      <c r="AI36" s="129" t="s">
        <v>143</v>
      </c>
      <c r="AJ36" s="129" t="s">
        <v>143</v>
      </c>
      <c r="AK36" s="129" t="s">
        <v>143</v>
      </c>
      <c r="AL36" s="129" t="s">
        <v>143</v>
      </c>
      <c r="AM36" s="129" t="s">
        <v>143</v>
      </c>
      <c r="AN36" s="129" t="s">
        <v>143</v>
      </c>
      <c r="AO36" s="129" t="s">
        <v>143</v>
      </c>
      <c r="AP36" s="129" t="s">
        <v>143</v>
      </c>
      <c r="AQ36" s="129" t="s">
        <v>143</v>
      </c>
      <c r="AR36" s="129" t="s">
        <v>143</v>
      </c>
      <c r="AS36" s="33" t="s">
        <v>143</v>
      </c>
    </row>
    <row r="37" spans="1:45" x14ac:dyDescent="0.2">
      <c r="A37" s="232"/>
      <c r="B37" s="231" t="str">
        <f t="shared" si="0"/>
        <v>5.8.2 / 7.8.2</v>
      </c>
      <c r="C37" s="231"/>
      <c r="D37" s="15" t="s">
        <v>85</v>
      </c>
      <c r="E37" s="15" t="str">
        <f t="shared" si="1"/>
        <v>mask</v>
      </c>
      <c r="F37" s="15" t="str">
        <f t="shared" si="2"/>
        <v>N/A</v>
      </c>
      <c r="G37" s="15" t="s">
        <v>21</v>
      </c>
      <c r="H37" s="15">
        <v>1</v>
      </c>
      <c r="I37" s="180"/>
      <c r="J37" s="180"/>
      <c r="K37" s="181"/>
      <c r="M37" s="143" t="s">
        <v>516</v>
      </c>
      <c r="N37" s="144" t="s">
        <v>532</v>
      </c>
      <c r="O37" s="144" t="s">
        <v>447</v>
      </c>
      <c r="P37" s="144" t="s">
        <v>447</v>
      </c>
      <c r="Q37" s="144" t="s">
        <v>462</v>
      </c>
      <c r="R37" s="145" t="s">
        <v>495</v>
      </c>
      <c r="T37" s="72" t="s">
        <v>144</v>
      </c>
      <c r="U37" s="129" t="s">
        <v>144</v>
      </c>
      <c r="V37" s="129" t="s">
        <v>144</v>
      </c>
      <c r="W37" s="129" t="s">
        <v>144</v>
      </c>
      <c r="X37" s="129" t="s">
        <v>144</v>
      </c>
      <c r="Y37" s="129" t="s">
        <v>144</v>
      </c>
      <c r="Z37" s="129" t="s">
        <v>144</v>
      </c>
      <c r="AA37" s="129" t="s">
        <v>144</v>
      </c>
      <c r="AB37" s="129" t="s">
        <v>144</v>
      </c>
      <c r="AC37" s="129" t="s">
        <v>144</v>
      </c>
      <c r="AD37" s="129" t="s">
        <v>144</v>
      </c>
      <c r="AE37" s="129" t="s">
        <v>144</v>
      </c>
      <c r="AF37" s="129" t="s">
        <v>144</v>
      </c>
      <c r="AG37" s="129" t="s">
        <v>143</v>
      </c>
      <c r="AH37" s="129" t="s">
        <v>143</v>
      </c>
      <c r="AI37" s="129" t="s">
        <v>143</v>
      </c>
      <c r="AJ37" s="129" t="s">
        <v>143</v>
      </c>
      <c r="AK37" s="129" t="s">
        <v>143</v>
      </c>
      <c r="AL37" s="129" t="s">
        <v>143</v>
      </c>
      <c r="AM37" s="129" t="s">
        <v>143</v>
      </c>
      <c r="AN37" s="129" t="s">
        <v>143</v>
      </c>
      <c r="AO37" s="129" t="s">
        <v>143</v>
      </c>
      <c r="AP37" s="129" t="s">
        <v>143</v>
      </c>
      <c r="AQ37" s="129" t="s">
        <v>143</v>
      </c>
      <c r="AR37" s="129" t="s">
        <v>143</v>
      </c>
      <c r="AS37" s="33" t="s">
        <v>143</v>
      </c>
    </row>
    <row r="38" spans="1:45" x14ac:dyDescent="0.2">
      <c r="A38" s="232"/>
      <c r="B38" s="231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 ""," / "&amp;HLOOKUP(SUBSTITUTE(SUBSTITUTE(SUBSTITUTE(SUBSTITUTE(SUBSTITUTE(VCBW,"AMR_",""),"EVS_",""),"SO3_",""),"SO68_",""),"SO73_",""),$P$3:$R$75,ROW(B38)-ROW($P$3)+1,FALSE))</f>
        <v>5.8.2 / 7.8.2</v>
      </c>
      <c r="C38" s="259" t="s">
        <v>232</v>
      </c>
      <c r="D38" s="15" t="s">
        <v>74</v>
      </c>
      <c r="E38" s="15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15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15" t="s">
        <v>21</v>
      </c>
      <c r="H38" s="15">
        <v>1</v>
      </c>
      <c r="I38" s="180"/>
      <c r="J38" s="180"/>
      <c r="K38" s="181"/>
      <c r="M38" s="143" t="s">
        <v>516</v>
      </c>
      <c r="N38" s="144" t="s">
        <v>532</v>
      </c>
      <c r="O38" s="144" t="s">
        <v>447</v>
      </c>
      <c r="P38" s="144" t="s">
        <v>447</v>
      </c>
      <c r="Q38" s="144" t="s">
        <v>462</v>
      </c>
      <c r="R38" s="145" t="s">
        <v>495</v>
      </c>
      <c r="T38" s="72" t="s">
        <v>144</v>
      </c>
      <c r="U38" s="129" t="s">
        <v>144</v>
      </c>
      <c r="V38" s="129" t="s">
        <v>144</v>
      </c>
      <c r="W38" s="129" t="s">
        <v>144</v>
      </c>
      <c r="X38" s="129" t="s">
        <v>144</v>
      </c>
      <c r="Y38" s="129" t="s">
        <v>144</v>
      </c>
      <c r="Z38" s="129" t="s">
        <v>144</v>
      </c>
      <c r="AA38" s="129" t="s">
        <v>144</v>
      </c>
      <c r="AB38" s="129" t="s">
        <v>144</v>
      </c>
      <c r="AC38" s="129" t="s">
        <v>144</v>
      </c>
      <c r="AD38" s="129" t="s">
        <v>144</v>
      </c>
      <c r="AE38" s="129" t="s">
        <v>144</v>
      </c>
      <c r="AF38" s="129" t="s">
        <v>144</v>
      </c>
      <c r="AG38" s="129" t="s">
        <v>143</v>
      </c>
      <c r="AH38" s="129" t="s">
        <v>143</v>
      </c>
      <c r="AI38" s="129" t="s">
        <v>143</v>
      </c>
      <c r="AJ38" s="129" t="s">
        <v>143</v>
      </c>
      <c r="AK38" s="129" t="s">
        <v>143</v>
      </c>
      <c r="AL38" s="129" t="s">
        <v>143</v>
      </c>
      <c r="AM38" s="129" t="s">
        <v>143</v>
      </c>
      <c r="AN38" s="129" t="s">
        <v>143</v>
      </c>
      <c r="AO38" s="129" t="s">
        <v>143</v>
      </c>
      <c r="AP38" s="129" t="s">
        <v>143</v>
      </c>
      <c r="AQ38" s="129" t="s">
        <v>143</v>
      </c>
      <c r="AR38" s="129" t="s">
        <v>143</v>
      </c>
      <c r="AS38" s="33" t="s">
        <v>143</v>
      </c>
    </row>
    <row r="39" spans="1:45" x14ac:dyDescent="0.2">
      <c r="A39" s="232"/>
      <c r="B39" s="231" t="str">
        <f t="shared" si="3"/>
        <v>5.8.2 / 7.8.2</v>
      </c>
      <c r="C39" s="231"/>
      <c r="D39" s="15" t="s">
        <v>85</v>
      </c>
      <c r="E39" s="15" t="str">
        <f t="shared" si="4"/>
        <v>mask</v>
      </c>
      <c r="F39" s="15" t="str">
        <f t="shared" si="5"/>
        <v>N/A</v>
      </c>
      <c r="G39" s="15" t="s">
        <v>21</v>
      </c>
      <c r="H39" s="15">
        <v>1</v>
      </c>
      <c r="I39" s="180"/>
      <c r="J39" s="180"/>
      <c r="K39" s="181"/>
      <c r="M39" s="143" t="s">
        <v>516</v>
      </c>
      <c r="N39" s="144" t="s">
        <v>532</v>
      </c>
      <c r="O39" s="144" t="s">
        <v>447</v>
      </c>
      <c r="P39" s="144" t="s">
        <v>447</v>
      </c>
      <c r="Q39" s="144" t="s">
        <v>462</v>
      </c>
      <c r="R39" s="145" t="s">
        <v>495</v>
      </c>
      <c r="T39" s="72" t="s">
        <v>144</v>
      </c>
      <c r="U39" s="129" t="s">
        <v>144</v>
      </c>
      <c r="V39" s="129" t="s">
        <v>144</v>
      </c>
      <c r="W39" s="129" t="s">
        <v>144</v>
      </c>
      <c r="X39" s="129" t="s">
        <v>144</v>
      </c>
      <c r="Y39" s="129" t="s">
        <v>144</v>
      </c>
      <c r="Z39" s="129" t="s">
        <v>144</v>
      </c>
      <c r="AA39" s="129" t="s">
        <v>144</v>
      </c>
      <c r="AB39" s="129" t="s">
        <v>144</v>
      </c>
      <c r="AC39" s="129" t="s">
        <v>144</v>
      </c>
      <c r="AD39" s="129" t="s">
        <v>144</v>
      </c>
      <c r="AE39" s="129" t="s">
        <v>144</v>
      </c>
      <c r="AF39" s="129" t="s">
        <v>144</v>
      </c>
      <c r="AG39" s="129" t="s">
        <v>143</v>
      </c>
      <c r="AH39" s="129" t="s">
        <v>143</v>
      </c>
      <c r="AI39" s="129" t="s">
        <v>143</v>
      </c>
      <c r="AJ39" s="129" t="s">
        <v>143</v>
      </c>
      <c r="AK39" s="129" t="s">
        <v>143</v>
      </c>
      <c r="AL39" s="129" t="s">
        <v>143</v>
      </c>
      <c r="AM39" s="129" t="s">
        <v>143</v>
      </c>
      <c r="AN39" s="129" t="s">
        <v>143</v>
      </c>
      <c r="AO39" s="129" t="s">
        <v>143</v>
      </c>
      <c r="AP39" s="129" t="s">
        <v>143</v>
      </c>
      <c r="AQ39" s="129" t="s">
        <v>143</v>
      </c>
      <c r="AR39" s="129" t="s">
        <v>143</v>
      </c>
      <c r="AS39" s="33" t="s">
        <v>143</v>
      </c>
    </row>
    <row r="40" spans="1:45" x14ac:dyDescent="0.2">
      <c r="A40" s="78" t="s">
        <v>179</v>
      </c>
      <c r="B40" s="15" t="str">
        <f t="shared" si="3"/>
        <v>5.12.1 / 7.10</v>
      </c>
      <c r="C40" s="15" t="s">
        <v>67</v>
      </c>
      <c r="D40" s="15" t="s">
        <v>19</v>
      </c>
      <c r="E40" s="15">
        <f t="shared" si="4"/>
        <v>0</v>
      </c>
      <c r="F40" s="15">
        <f t="shared" si="5"/>
        <v>190</v>
      </c>
      <c r="G40" s="15" t="s">
        <v>52</v>
      </c>
      <c r="H40" s="15">
        <v>1</v>
      </c>
      <c r="I40" s="168"/>
      <c r="J40" s="168"/>
      <c r="K40" s="169"/>
      <c r="M40" s="143" t="s">
        <v>551</v>
      </c>
      <c r="N40" s="144" t="s">
        <v>559</v>
      </c>
      <c r="O40" s="144" t="s">
        <v>574</v>
      </c>
      <c r="P40" s="144" t="s">
        <v>450</v>
      </c>
      <c r="Q40" s="144" t="s">
        <v>474</v>
      </c>
      <c r="R40" s="145" t="s">
        <v>497</v>
      </c>
      <c r="T40" s="72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220</v>
      </c>
      <c r="AH40" s="129">
        <v>220</v>
      </c>
      <c r="AI40" s="129">
        <v>190</v>
      </c>
      <c r="AJ40" s="129">
        <v>190</v>
      </c>
      <c r="AK40" s="129">
        <v>190</v>
      </c>
      <c r="AL40" s="129">
        <v>190</v>
      </c>
      <c r="AM40" s="129">
        <v>190</v>
      </c>
      <c r="AN40" s="129">
        <v>220</v>
      </c>
      <c r="AO40" s="129">
        <v>220</v>
      </c>
      <c r="AP40" s="129">
        <v>220</v>
      </c>
      <c r="AQ40" s="129">
        <v>220</v>
      </c>
      <c r="AR40" s="129" t="s">
        <v>178</v>
      </c>
      <c r="AS40" s="33" t="s">
        <v>178</v>
      </c>
    </row>
    <row r="41" spans="1:45" x14ac:dyDescent="0.2">
      <c r="A41" s="254" t="s">
        <v>20</v>
      </c>
      <c r="B41" s="221" t="str">
        <f t="shared" si="3"/>
        <v>5.13.1 / 7.11</v>
      </c>
      <c r="C41" s="221" t="s">
        <v>172</v>
      </c>
      <c r="D41" s="73" t="s">
        <v>658</v>
      </c>
      <c r="E41" s="73">
        <f>HLOOKUP(IF(OR("GSM"=Network,"WCDMA"=Network),"UMTS",IF(OR("VoLTE"=Network,"VoNR"=Network,"VoWiFi"=Network),"VoIMS",Network))&amp;" "&amp;VCBW,$T$3:$AF$75,ROW(E41)-ROW($T$3)+1,FALSE)</f>
        <v>0.9</v>
      </c>
      <c r="F41" s="73">
        <f t="shared" si="5"/>
        <v>1</v>
      </c>
      <c r="G41" s="73" t="s">
        <v>345</v>
      </c>
      <c r="H41" s="73">
        <v>2</v>
      </c>
      <c r="I41" s="178"/>
      <c r="J41" s="178"/>
      <c r="K41" s="179"/>
      <c r="M41" s="143" t="s">
        <v>552</v>
      </c>
      <c r="N41" s="144" t="s">
        <v>560</v>
      </c>
      <c r="O41" s="144" t="s">
        <v>575</v>
      </c>
      <c r="P41" s="144" t="s">
        <v>579</v>
      </c>
      <c r="Q41" s="144" t="s">
        <v>473</v>
      </c>
      <c r="R41" s="145" t="s">
        <v>499</v>
      </c>
      <c r="T41" s="186">
        <v>0.9</v>
      </c>
      <c r="U41" s="187">
        <v>0.9</v>
      </c>
      <c r="V41" s="187">
        <v>0.9</v>
      </c>
      <c r="W41" s="187">
        <v>0.9</v>
      </c>
      <c r="X41" s="187">
        <v>0.9</v>
      </c>
      <c r="Y41" s="187">
        <v>0.9</v>
      </c>
      <c r="Z41" s="187">
        <v>0.9</v>
      </c>
      <c r="AA41" s="187">
        <v>0.9</v>
      </c>
      <c r="AB41" s="187">
        <v>0.9</v>
      </c>
      <c r="AC41" s="187">
        <v>0.9</v>
      </c>
      <c r="AD41" s="187">
        <v>0.9</v>
      </c>
      <c r="AE41" s="187">
        <v>0.9</v>
      </c>
      <c r="AF41" s="187">
        <v>0.9</v>
      </c>
      <c r="AG41" s="187">
        <v>1</v>
      </c>
      <c r="AH41" s="187">
        <v>1</v>
      </c>
      <c r="AI41" s="187">
        <v>1</v>
      </c>
      <c r="AJ41" s="187">
        <v>1</v>
      </c>
      <c r="AK41" s="187">
        <v>1</v>
      </c>
      <c r="AL41" s="187">
        <v>1</v>
      </c>
      <c r="AM41" s="187">
        <v>1</v>
      </c>
      <c r="AN41" s="187">
        <v>1</v>
      </c>
      <c r="AO41" s="187">
        <v>1</v>
      </c>
      <c r="AP41" s="187">
        <v>1</v>
      </c>
      <c r="AQ41" s="187">
        <v>1</v>
      </c>
      <c r="AR41" s="187">
        <v>1</v>
      </c>
      <c r="AS41" s="188">
        <v>1</v>
      </c>
    </row>
    <row r="42" spans="1:45" x14ac:dyDescent="0.2">
      <c r="A42" s="255"/>
      <c r="B42" s="257"/>
      <c r="C42" s="222"/>
      <c r="D42" s="159" t="s">
        <v>656</v>
      </c>
      <c r="E42" s="159">
        <f t="shared" si="4"/>
        <v>0.95</v>
      </c>
      <c r="F42" s="159">
        <f t="shared" ref="F42" si="6">HLOOKUP(IF(OR("GSM"=Network,"WCDMA"=Network),"UMTS",IF(OR("VoLTE"=Network,"VoNR"=Network,"VoWiFi"=Network),"VoIMS",Network))&amp;" "&amp;VCBW,$AG$3:$AS$75,ROW(E42)-ROW($AG$3)+1,FALSE)</f>
        <v>1</v>
      </c>
      <c r="G42" s="159" t="s">
        <v>345</v>
      </c>
      <c r="H42" s="159">
        <v>1</v>
      </c>
      <c r="I42" s="178"/>
      <c r="J42" s="178"/>
      <c r="K42" s="179"/>
      <c r="M42" s="143" t="s">
        <v>659</v>
      </c>
      <c r="N42" s="144" t="s">
        <v>555</v>
      </c>
      <c r="O42" s="144" t="s">
        <v>562</v>
      </c>
      <c r="P42" s="144" t="s">
        <v>578</v>
      </c>
      <c r="Q42" s="144" t="s">
        <v>472</v>
      </c>
      <c r="R42" s="145" t="s">
        <v>498</v>
      </c>
      <c r="T42" s="186">
        <v>0.95</v>
      </c>
      <c r="U42" s="187">
        <v>0.95</v>
      </c>
      <c r="V42" s="187">
        <v>0.95</v>
      </c>
      <c r="W42" s="187">
        <v>0.95</v>
      </c>
      <c r="X42" s="187">
        <v>0.95</v>
      </c>
      <c r="Y42" s="187">
        <v>0.95</v>
      </c>
      <c r="Z42" s="187">
        <v>0.95</v>
      </c>
      <c r="AA42" s="187">
        <v>0.95</v>
      </c>
      <c r="AB42" s="187">
        <v>0.95</v>
      </c>
      <c r="AC42" s="187">
        <v>0.95</v>
      </c>
      <c r="AD42" s="187">
        <v>0.95</v>
      </c>
      <c r="AE42" s="187">
        <v>0.95</v>
      </c>
      <c r="AF42" s="187">
        <v>0.95</v>
      </c>
      <c r="AG42" s="187">
        <v>1</v>
      </c>
      <c r="AH42" s="187">
        <v>1</v>
      </c>
      <c r="AI42" s="187">
        <v>1</v>
      </c>
      <c r="AJ42" s="187">
        <v>1</v>
      </c>
      <c r="AK42" s="187">
        <v>1</v>
      </c>
      <c r="AL42" s="187">
        <v>1</v>
      </c>
      <c r="AM42" s="187">
        <v>1</v>
      </c>
      <c r="AN42" s="187">
        <v>1</v>
      </c>
      <c r="AO42" s="187">
        <v>1</v>
      </c>
      <c r="AP42" s="187">
        <v>1</v>
      </c>
      <c r="AQ42" s="187">
        <v>1</v>
      </c>
      <c r="AR42" s="187">
        <v>1</v>
      </c>
      <c r="AS42" s="188">
        <v>1</v>
      </c>
    </row>
    <row r="43" spans="1:45" x14ac:dyDescent="0.2">
      <c r="A43" s="255"/>
      <c r="B43" s="257" t="str">
        <f t="shared" si="3"/>
        <v>5.13.1 / 7.11</v>
      </c>
      <c r="C43" s="73" t="s">
        <v>174</v>
      </c>
      <c r="D43" s="73" t="s">
        <v>173</v>
      </c>
      <c r="E43" s="73">
        <f t="shared" si="4"/>
        <v>0.95</v>
      </c>
      <c r="F43" s="73">
        <f t="shared" si="5"/>
        <v>1</v>
      </c>
      <c r="G43" s="159" t="s">
        <v>345</v>
      </c>
      <c r="H43" s="73">
        <v>1</v>
      </c>
      <c r="I43" s="178"/>
      <c r="J43" s="178"/>
      <c r="K43" s="179"/>
      <c r="M43" s="143" t="s">
        <v>659</v>
      </c>
      <c r="N43" s="144" t="s">
        <v>555</v>
      </c>
      <c r="O43" s="144" t="s">
        <v>562</v>
      </c>
      <c r="P43" s="144" t="s">
        <v>578</v>
      </c>
      <c r="Q43" s="144" t="s">
        <v>472</v>
      </c>
      <c r="R43" s="145" t="s">
        <v>498</v>
      </c>
      <c r="T43" s="186">
        <v>0.95</v>
      </c>
      <c r="U43" s="187">
        <v>0.95</v>
      </c>
      <c r="V43" s="187">
        <v>0.95</v>
      </c>
      <c r="W43" s="187">
        <v>0.95</v>
      </c>
      <c r="X43" s="187">
        <v>0.95</v>
      </c>
      <c r="Y43" s="187">
        <v>0.95</v>
      </c>
      <c r="Z43" s="187">
        <v>0.95</v>
      </c>
      <c r="AA43" s="187">
        <v>0.95</v>
      </c>
      <c r="AB43" s="187">
        <v>0.95</v>
      </c>
      <c r="AC43" s="187">
        <v>0.95</v>
      </c>
      <c r="AD43" s="187">
        <v>0.95</v>
      </c>
      <c r="AE43" s="187">
        <v>0.95</v>
      </c>
      <c r="AF43" s="187">
        <v>0.95</v>
      </c>
      <c r="AG43" s="187">
        <v>1</v>
      </c>
      <c r="AH43" s="187">
        <v>1</v>
      </c>
      <c r="AI43" s="187">
        <v>1</v>
      </c>
      <c r="AJ43" s="187">
        <v>1</v>
      </c>
      <c r="AK43" s="187">
        <v>1</v>
      </c>
      <c r="AL43" s="187">
        <v>1</v>
      </c>
      <c r="AM43" s="187">
        <v>1</v>
      </c>
      <c r="AN43" s="187">
        <v>1</v>
      </c>
      <c r="AO43" s="187">
        <v>1</v>
      </c>
      <c r="AP43" s="187">
        <v>1</v>
      </c>
      <c r="AQ43" s="187">
        <v>1</v>
      </c>
      <c r="AR43" s="187">
        <v>1</v>
      </c>
      <c r="AS43" s="188">
        <v>1</v>
      </c>
    </row>
    <row r="44" spans="1:45" x14ac:dyDescent="0.2">
      <c r="A44" s="255"/>
      <c r="B44" s="257"/>
      <c r="C44" s="221" t="s">
        <v>175</v>
      </c>
      <c r="D44" s="159" t="s">
        <v>658</v>
      </c>
      <c r="E44" s="159">
        <f t="shared" si="4"/>
        <v>0.9</v>
      </c>
      <c r="F44" s="159">
        <f t="shared" ref="F44" si="7">HLOOKUP(IF(OR("GSM"=Network,"WCDMA"=Network),"UMTS",IF(OR("VoLTE"=Network,"VoNR"=Network,"VoWiFi"=Network),"VoIMS",Network))&amp;" "&amp;VCBW,$AG$3:$AS$75,ROW(E44)-ROW($AG$3)+1,FALSE)</f>
        <v>1</v>
      </c>
      <c r="G44" s="159" t="s">
        <v>345</v>
      </c>
      <c r="H44" s="159">
        <v>2</v>
      </c>
      <c r="I44" s="178"/>
      <c r="J44" s="178"/>
      <c r="K44" s="179"/>
      <c r="M44" s="143" t="s">
        <v>659</v>
      </c>
      <c r="N44" s="144" t="s">
        <v>555</v>
      </c>
      <c r="O44" s="144" t="s">
        <v>562</v>
      </c>
      <c r="P44" s="144" t="s">
        <v>578</v>
      </c>
      <c r="Q44" s="144" t="s">
        <v>472</v>
      </c>
      <c r="R44" s="145" t="s">
        <v>498</v>
      </c>
      <c r="T44" s="186">
        <v>0.9</v>
      </c>
      <c r="U44" s="187">
        <v>0.9</v>
      </c>
      <c r="V44" s="187">
        <v>0.9</v>
      </c>
      <c r="W44" s="187">
        <v>0.9</v>
      </c>
      <c r="X44" s="187">
        <v>0.9</v>
      </c>
      <c r="Y44" s="187">
        <v>0.9</v>
      </c>
      <c r="Z44" s="187">
        <v>0.9</v>
      </c>
      <c r="AA44" s="187">
        <v>0.9</v>
      </c>
      <c r="AB44" s="187">
        <v>0.9</v>
      </c>
      <c r="AC44" s="187">
        <v>0.9</v>
      </c>
      <c r="AD44" s="187">
        <v>0.9</v>
      </c>
      <c r="AE44" s="187">
        <v>0.9</v>
      </c>
      <c r="AF44" s="187">
        <v>0.9</v>
      </c>
      <c r="AG44" s="187">
        <v>1</v>
      </c>
      <c r="AH44" s="187">
        <v>1</v>
      </c>
      <c r="AI44" s="187">
        <v>1</v>
      </c>
      <c r="AJ44" s="187">
        <v>1</v>
      </c>
      <c r="AK44" s="187">
        <v>1</v>
      </c>
      <c r="AL44" s="187">
        <v>1</v>
      </c>
      <c r="AM44" s="187">
        <v>1</v>
      </c>
      <c r="AN44" s="187">
        <v>1</v>
      </c>
      <c r="AO44" s="187">
        <v>1</v>
      </c>
      <c r="AP44" s="187">
        <v>1</v>
      </c>
      <c r="AQ44" s="187">
        <v>1</v>
      </c>
      <c r="AR44" s="187">
        <v>1</v>
      </c>
      <c r="AS44" s="188">
        <v>1</v>
      </c>
    </row>
    <row r="45" spans="1:45" x14ac:dyDescent="0.2">
      <c r="A45" s="255"/>
      <c r="B45" s="257" t="str">
        <f t="shared" si="3"/>
        <v>5.13.1 / 7.11</v>
      </c>
      <c r="C45" s="222"/>
      <c r="D45" s="73" t="s">
        <v>173</v>
      </c>
      <c r="E45" s="73">
        <f t="shared" si="4"/>
        <v>0.95</v>
      </c>
      <c r="F45" s="73">
        <f t="shared" si="5"/>
        <v>1</v>
      </c>
      <c r="G45" s="159" t="s">
        <v>345</v>
      </c>
      <c r="H45" s="73">
        <v>1</v>
      </c>
      <c r="I45" s="178"/>
      <c r="J45" s="178"/>
      <c r="K45" s="179"/>
      <c r="M45" s="143" t="s">
        <v>552</v>
      </c>
      <c r="N45" s="144" t="s">
        <v>555</v>
      </c>
      <c r="O45" s="144" t="s">
        <v>562</v>
      </c>
      <c r="P45" s="144" t="s">
        <v>578</v>
      </c>
      <c r="Q45" s="144" t="s">
        <v>472</v>
      </c>
      <c r="R45" s="145" t="s">
        <v>498</v>
      </c>
      <c r="T45" s="186">
        <v>0.95</v>
      </c>
      <c r="U45" s="187">
        <v>0.95</v>
      </c>
      <c r="V45" s="187">
        <v>0.95</v>
      </c>
      <c r="W45" s="187">
        <v>0.95</v>
      </c>
      <c r="X45" s="187">
        <v>0.95</v>
      </c>
      <c r="Y45" s="187">
        <v>0.95</v>
      </c>
      <c r="Z45" s="187">
        <v>0.95</v>
      </c>
      <c r="AA45" s="187">
        <v>0.95</v>
      </c>
      <c r="AB45" s="187">
        <v>0.95</v>
      </c>
      <c r="AC45" s="187">
        <v>0.95</v>
      </c>
      <c r="AD45" s="187">
        <v>0.95</v>
      </c>
      <c r="AE45" s="187">
        <v>0.95</v>
      </c>
      <c r="AF45" s="187">
        <v>0.95</v>
      </c>
      <c r="AG45" s="187">
        <v>1</v>
      </c>
      <c r="AH45" s="187">
        <v>1</v>
      </c>
      <c r="AI45" s="187">
        <v>1</v>
      </c>
      <c r="AJ45" s="187">
        <v>1</v>
      </c>
      <c r="AK45" s="187">
        <v>1</v>
      </c>
      <c r="AL45" s="187">
        <v>1</v>
      </c>
      <c r="AM45" s="187">
        <v>1</v>
      </c>
      <c r="AN45" s="187">
        <v>1</v>
      </c>
      <c r="AO45" s="187">
        <v>1</v>
      </c>
      <c r="AP45" s="187">
        <v>1</v>
      </c>
      <c r="AQ45" s="187">
        <v>1</v>
      </c>
      <c r="AR45" s="187">
        <v>1</v>
      </c>
      <c r="AS45" s="188">
        <v>1</v>
      </c>
    </row>
    <row r="46" spans="1:45" x14ac:dyDescent="0.2">
      <c r="A46" s="256"/>
      <c r="B46" s="222" t="str">
        <f t="shared" si="3"/>
        <v>5.13.1 / 7.11</v>
      </c>
      <c r="C46" s="73" t="s">
        <v>176</v>
      </c>
      <c r="D46" s="73" t="s">
        <v>173</v>
      </c>
      <c r="E46" s="73">
        <f t="shared" si="4"/>
        <v>0.95</v>
      </c>
      <c r="F46" s="73">
        <f t="shared" si="5"/>
        <v>1</v>
      </c>
      <c r="G46" s="159" t="s">
        <v>345</v>
      </c>
      <c r="H46" s="73">
        <v>1</v>
      </c>
      <c r="I46" s="178"/>
      <c r="J46" s="178"/>
      <c r="K46" s="179"/>
      <c r="M46" s="143" t="s">
        <v>552</v>
      </c>
      <c r="N46" s="144" t="s">
        <v>555</v>
      </c>
      <c r="O46" s="144" t="s">
        <v>562</v>
      </c>
      <c r="P46" s="144" t="s">
        <v>578</v>
      </c>
      <c r="Q46" s="144" t="s">
        <v>472</v>
      </c>
      <c r="R46" s="145" t="s">
        <v>498</v>
      </c>
      <c r="T46" s="186">
        <v>0.95</v>
      </c>
      <c r="U46" s="187">
        <v>0.95</v>
      </c>
      <c r="V46" s="187">
        <v>0.95</v>
      </c>
      <c r="W46" s="187">
        <v>0.95</v>
      </c>
      <c r="X46" s="187">
        <v>0.95</v>
      </c>
      <c r="Y46" s="187">
        <v>0.95</v>
      </c>
      <c r="Z46" s="187">
        <v>0.95</v>
      </c>
      <c r="AA46" s="187">
        <v>0.95</v>
      </c>
      <c r="AB46" s="187">
        <v>0.95</v>
      </c>
      <c r="AC46" s="187">
        <v>0.95</v>
      </c>
      <c r="AD46" s="187">
        <v>0.95</v>
      </c>
      <c r="AE46" s="187">
        <v>0.95</v>
      </c>
      <c r="AF46" s="187">
        <v>0.95</v>
      </c>
      <c r="AG46" s="187">
        <v>1</v>
      </c>
      <c r="AH46" s="187">
        <v>1</v>
      </c>
      <c r="AI46" s="187">
        <v>1</v>
      </c>
      <c r="AJ46" s="187">
        <v>1</v>
      </c>
      <c r="AK46" s="187">
        <v>1</v>
      </c>
      <c r="AL46" s="187">
        <v>1</v>
      </c>
      <c r="AM46" s="187">
        <v>1</v>
      </c>
      <c r="AN46" s="187">
        <v>1</v>
      </c>
      <c r="AO46" s="187">
        <v>1</v>
      </c>
      <c r="AP46" s="187">
        <v>1</v>
      </c>
      <c r="AQ46" s="187">
        <v>1</v>
      </c>
      <c r="AR46" s="187">
        <v>1</v>
      </c>
      <c r="AS46" s="188">
        <v>1</v>
      </c>
    </row>
    <row r="47" spans="1:45" x14ac:dyDescent="0.2">
      <c r="A47" s="232" t="s">
        <v>63</v>
      </c>
      <c r="B47" s="231" t="str">
        <f t="shared" si="3"/>
        <v>5.11.2 / 7.12.1</v>
      </c>
      <c r="C47" s="15" t="s">
        <v>37</v>
      </c>
      <c r="D47" s="15" t="s">
        <v>40</v>
      </c>
      <c r="E47" s="73">
        <f t="shared" si="4"/>
        <v>3.8</v>
      </c>
      <c r="F47" s="73">
        <f t="shared" si="5"/>
        <v>5</v>
      </c>
      <c r="G47" s="15" t="s">
        <v>21</v>
      </c>
      <c r="H47" s="15">
        <v>1</v>
      </c>
      <c r="I47" s="168"/>
      <c r="J47" s="168"/>
      <c r="K47" s="169"/>
      <c r="M47" s="143" t="s">
        <v>571</v>
      </c>
      <c r="N47" s="144" t="s">
        <v>573</v>
      </c>
      <c r="O47" s="144" t="s">
        <v>569</v>
      </c>
      <c r="P47" s="144" t="s">
        <v>575</v>
      </c>
      <c r="Q47" s="144" t="s">
        <v>584</v>
      </c>
      <c r="R47" s="145" t="s">
        <v>590</v>
      </c>
      <c r="T47" s="72">
        <v>3.8</v>
      </c>
      <c r="U47" s="129">
        <v>3.8</v>
      </c>
      <c r="V47" s="129">
        <v>3.8</v>
      </c>
      <c r="W47" s="129">
        <v>3.8</v>
      </c>
      <c r="X47" s="129">
        <v>3.8</v>
      </c>
      <c r="Y47" s="129">
        <v>3.8</v>
      </c>
      <c r="Z47" s="129">
        <v>3.8</v>
      </c>
      <c r="AA47" s="129">
        <v>3.8</v>
      </c>
      <c r="AB47" s="129">
        <v>3.8</v>
      </c>
      <c r="AC47" s="129">
        <v>3.8</v>
      </c>
      <c r="AD47" s="129">
        <v>3.8</v>
      </c>
      <c r="AE47" s="129">
        <v>3.8</v>
      </c>
      <c r="AF47" s="129">
        <v>3.8</v>
      </c>
      <c r="AG47" s="129">
        <v>5</v>
      </c>
      <c r="AH47" s="129">
        <v>5</v>
      </c>
      <c r="AI47" s="129">
        <v>5</v>
      </c>
      <c r="AJ47" s="129">
        <v>5</v>
      </c>
      <c r="AK47" s="129">
        <v>5</v>
      </c>
      <c r="AL47" s="129">
        <v>5</v>
      </c>
      <c r="AM47" s="129">
        <v>5</v>
      </c>
      <c r="AN47" s="129">
        <v>5</v>
      </c>
      <c r="AO47" s="129">
        <v>5</v>
      </c>
      <c r="AP47" s="129">
        <v>5</v>
      </c>
      <c r="AQ47" s="129">
        <v>5</v>
      </c>
      <c r="AR47" s="129">
        <v>5</v>
      </c>
      <c r="AS47" s="33">
        <v>5</v>
      </c>
    </row>
    <row r="48" spans="1:45" x14ac:dyDescent="0.2">
      <c r="A48" s="232"/>
      <c r="B48" s="231" t="str">
        <f t="shared" si="3"/>
        <v>5.11.2 / 7.12.1</v>
      </c>
      <c r="C48" s="15" t="s">
        <v>38</v>
      </c>
      <c r="D48" s="15" t="s">
        <v>40</v>
      </c>
      <c r="E48" s="73">
        <f t="shared" si="4"/>
        <v>3.7</v>
      </c>
      <c r="F48" s="73">
        <f t="shared" si="5"/>
        <v>5</v>
      </c>
      <c r="G48" s="15" t="s">
        <v>21</v>
      </c>
      <c r="H48" s="15">
        <v>1</v>
      </c>
      <c r="I48" s="168"/>
      <c r="J48" s="168"/>
      <c r="K48" s="169"/>
      <c r="M48" s="143" t="s">
        <v>570</v>
      </c>
      <c r="N48" s="144" t="s">
        <v>572</v>
      </c>
      <c r="O48" s="144" t="s">
        <v>568</v>
      </c>
      <c r="P48" s="144" t="s">
        <v>562</v>
      </c>
      <c r="Q48" s="144" t="s">
        <v>582</v>
      </c>
      <c r="R48" s="145" t="s">
        <v>588</v>
      </c>
      <c r="T48" s="72">
        <v>3.7</v>
      </c>
      <c r="U48" s="129">
        <v>3.7</v>
      </c>
      <c r="V48" s="129">
        <v>3.7</v>
      </c>
      <c r="W48" s="129">
        <v>3.7</v>
      </c>
      <c r="X48" s="129">
        <v>3.7</v>
      </c>
      <c r="Y48" s="129">
        <v>3.7</v>
      </c>
      <c r="Z48" s="129">
        <v>3.7</v>
      </c>
      <c r="AA48" s="129">
        <v>3.7</v>
      </c>
      <c r="AB48" s="129">
        <v>3.7</v>
      </c>
      <c r="AC48" s="129">
        <v>3.7</v>
      </c>
      <c r="AD48" s="129">
        <v>3.7</v>
      </c>
      <c r="AE48" s="129">
        <v>3.7</v>
      </c>
      <c r="AF48" s="129">
        <v>3.7</v>
      </c>
      <c r="AG48" s="129">
        <v>5</v>
      </c>
      <c r="AH48" s="129">
        <v>5</v>
      </c>
      <c r="AI48" s="129">
        <v>5</v>
      </c>
      <c r="AJ48" s="129">
        <v>5</v>
      </c>
      <c r="AK48" s="129">
        <v>5</v>
      </c>
      <c r="AL48" s="129">
        <v>5</v>
      </c>
      <c r="AM48" s="129">
        <v>5</v>
      </c>
      <c r="AN48" s="129">
        <v>5</v>
      </c>
      <c r="AO48" s="129">
        <v>5</v>
      </c>
      <c r="AP48" s="129">
        <v>5</v>
      </c>
      <c r="AQ48" s="129">
        <v>5</v>
      </c>
      <c r="AR48" s="129">
        <v>5</v>
      </c>
      <c r="AS48" s="33">
        <v>5</v>
      </c>
    </row>
    <row r="49" spans="1:45" x14ac:dyDescent="0.2">
      <c r="A49" s="232"/>
      <c r="B49" s="231" t="str">
        <f t="shared" si="3"/>
        <v>5.11.2 / 7.12.1</v>
      </c>
      <c r="C49" s="15" t="s">
        <v>39</v>
      </c>
      <c r="D49" s="15" t="s">
        <v>40</v>
      </c>
      <c r="E49" s="73">
        <f t="shared" si="4"/>
        <v>3.7</v>
      </c>
      <c r="F49" s="73">
        <f t="shared" si="5"/>
        <v>5</v>
      </c>
      <c r="G49" s="15" t="s">
        <v>21</v>
      </c>
      <c r="H49" s="15">
        <v>1</v>
      </c>
      <c r="I49" s="168"/>
      <c r="J49" s="168"/>
      <c r="K49" s="169"/>
      <c r="M49" s="143" t="s">
        <v>570</v>
      </c>
      <c r="N49" s="144" t="s">
        <v>572</v>
      </c>
      <c r="O49" s="144" t="s">
        <v>568</v>
      </c>
      <c r="P49" s="144" t="s">
        <v>562</v>
      </c>
      <c r="Q49" s="144" t="s">
        <v>582</v>
      </c>
      <c r="R49" s="145" t="s">
        <v>588</v>
      </c>
      <c r="T49" s="72">
        <v>3.7</v>
      </c>
      <c r="U49" s="129">
        <v>3.7</v>
      </c>
      <c r="V49" s="129">
        <v>3.7</v>
      </c>
      <c r="W49" s="129">
        <v>3.7</v>
      </c>
      <c r="X49" s="129">
        <v>3.7</v>
      </c>
      <c r="Y49" s="129">
        <v>3.7</v>
      </c>
      <c r="Z49" s="129">
        <v>3.7</v>
      </c>
      <c r="AA49" s="129">
        <v>3.7</v>
      </c>
      <c r="AB49" s="129">
        <v>3.7</v>
      </c>
      <c r="AC49" s="129">
        <v>3.7</v>
      </c>
      <c r="AD49" s="129">
        <v>3.7</v>
      </c>
      <c r="AE49" s="129">
        <v>3.7</v>
      </c>
      <c r="AF49" s="129">
        <v>3.7</v>
      </c>
      <c r="AG49" s="129">
        <v>5</v>
      </c>
      <c r="AH49" s="129">
        <v>5</v>
      </c>
      <c r="AI49" s="129">
        <v>5</v>
      </c>
      <c r="AJ49" s="129">
        <v>5</v>
      </c>
      <c r="AK49" s="129">
        <v>5</v>
      </c>
      <c r="AL49" s="129">
        <v>5</v>
      </c>
      <c r="AM49" s="129">
        <v>5</v>
      </c>
      <c r="AN49" s="129">
        <v>5</v>
      </c>
      <c r="AO49" s="129">
        <v>5</v>
      </c>
      <c r="AP49" s="129">
        <v>5</v>
      </c>
      <c r="AQ49" s="129">
        <v>5</v>
      </c>
      <c r="AR49" s="129">
        <v>5</v>
      </c>
      <c r="AS49" s="33">
        <v>5</v>
      </c>
    </row>
    <row r="50" spans="1:45" x14ac:dyDescent="0.2">
      <c r="A50" s="232"/>
      <c r="B50" s="231" t="str">
        <f t="shared" si="3"/>
        <v>5.11.2 / 7.12.1</v>
      </c>
      <c r="C50" s="231" t="s">
        <v>37</v>
      </c>
      <c r="D50" s="15" t="s">
        <v>29</v>
      </c>
      <c r="E50" s="73">
        <f t="shared" si="4"/>
        <v>3.5</v>
      </c>
      <c r="F50" s="73">
        <f t="shared" si="5"/>
        <v>5</v>
      </c>
      <c r="G50" s="15" t="s">
        <v>21</v>
      </c>
      <c r="H50" s="15">
        <v>2</v>
      </c>
      <c r="I50" s="168"/>
      <c r="J50" s="168"/>
      <c r="K50" s="169"/>
      <c r="M50" s="143" t="s">
        <v>570</v>
      </c>
      <c r="N50" s="144" t="s">
        <v>572</v>
      </c>
      <c r="O50" s="144" t="s">
        <v>568</v>
      </c>
      <c r="P50" s="144" t="s">
        <v>562</v>
      </c>
      <c r="Q50" s="144" t="s">
        <v>582</v>
      </c>
      <c r="R50" s="145" t="s">
        <v>588</v>
      </c>
      <c r="T50" s="72">
        <v>3.5</v>
      </c>
      <c r="U50" s="129">
        <v>3.5</v>
      </c>
      <c r="V50" s="129">
        <v>3.5</v>
      </c>
      <c r="W50" s="129">
        <v>3.5</v>
      </c>
      <c r="X50" s="129">
        <v>3.5</v>
      </c>
      <c r="Y50" s="129">
        <v>3.5</v>
      </c>
      <c r="Z50" s="129">
        <v>3.5</v>
      </c>
      <c r="AA50" s="129">
        <v>3.5</v>
      </c>
      <c r="AB50" s="129">
        <v>3.5</v>
      </c>
      <c r="AC50" s="129">
        <v>3.5</v>
      </c>
      <c r="AD50" s="129">
        <v>3.5</v>
      </c>
      <c r="AE50" s="129">
        <v>3.5</v>
      </c>
      <c r="AF50" s="129">
        <v>3.5</v>
      </c>
      <c r="AG50" s="129">
        <v>5</v>
      </c>
      <c r="AH50" s="129">
        <v>5</v>
      </c>
      <c r="AI50" s="129">
        <v>5</v>
      </c>
      <c r="AJ50" s="129">
        <v>5</v>
      </c>
      <c r="AK50" s="129">
        <v>5</v>
      </c>
      <c r="AL50" s="129">
        <v>5</v>
      </c>
      <c r="AM50" s="129">
        <v>5</v>
      </c>
      <c r="AN50" s="129">
        <v>5</v>
      </c>
      <c r="AO50" s="129">
        <v>5</v>
      </c>
      <c r="AP50" s="129">
        <v>5</v>
      </c>
      <c r="AQ50" s="129">
        <v>5</v>
      </c>
      <c r="AR50" s="129">
        <v>5</v>
      </c>
      <c r="AS50" s="33">
        <v>5</v>
      </c>
    </row>
    <row r="51" spans="1:45" x14ac:dyDescent="0.2">
      <c r="A51" s="232"/>
      <c r="B51" s="231" t="str">
        <f t="shared" si="3"/>
        <v>5.11.2 / 7.12.1</v>
      </c>
      <c r="C51" s="231"/>
      <c r="D51" s="15" t="s">
        <v>30</v>
      </c>
      <c r="E51" s="15">
        <f t="shared" si="4"/>
        <v>3.5</v>
      </c>
      <c r="F51" s="15">
        <f t="shared" si="5"/>
        <v>5</v>
      </c>
      <c r="G51" s="15" t="s">
        <v>21</v>
      </c>
      <c r="H51" s="15">
        <v>2</v>
      </c>
      <c r="I51" s="168"/>
      <c r="J51" s="168"/>
      <c r="K51" s="169"/>
      <c r="M51" s="143" t="s">
        <v>570</v>
      </c>
      <c r="N51" s="144" t="s">
        <v>572</v>
      </c>
      <c r="O51" s="144" t="s">
        <v>568</v>
      </c>
      <c r="P51" s="144" t="s">
        <v>562</v>
      </c>
      <c r="Q51" s="144" t="s">
        <v>582</v>
      </c>
      <c r="R51" s="145" t="s">
        <v>588</v>
      </c>
      <c r="T51" s="72">
        <v>3.5</v>
      </c>
      <c r="U51" s="129">
        <v>3.5</v>
      </c>
      <c r="V51" s="129">
        <v>3.5</v>
      </c>
      <c r="W51" s="129">
        <v>3.5</v>
      </c>
      <c r="X51" s="129">
        <v>3.5</v>
      </c>
      <c r="Y51" s="129">
        <v>3.5</v>
      </c>
      <c r="Z51" s="129">
        <v>3.5</v>
      </c>
      <c r="AA51" s="129">
        <v>3.5</v>
      </c>
      <c r="AB51" s="129">
        <v>3.5</v>
      </c>
      <c r="AC51" s="129">
        <v>3.5</v>
      </c>
      <c r="AD51" s="129">
        <v>3.5</v>
      </c>
      <c r="AE51" s="129">
        <v>3.5</v>
      </c>
      <c r="AF51" s="129">
        <v>3.5</v>
      </c>
      <c r="AG51" s="129">
        <v>5</v>
      </c>
      <c r="AH51" s="129">
        <v>5</v>
      </c>
      <c r="AI51" s="129">
        <v>5</v>
      </c>
      <c r="AJ51" s="129">
        <v>5</v>
      </c>
      <c r="AK51" s="129">
        <v>5</v>
      </c>
      <c r="AL51" s="129">
        <v>5</v>
      </c>
      <c r="AM51" s="129">
        <v>5</v>
      </c>
      <c r="AN51" s="129">
        <v>5</v>
      </c>
      <c r="AO51" s="129">
        <v>5</v>
      </c>
      <c r="AP51" s="129">
        <v>5</v>
      </c>
      <c r="AQ51" s="129">
        <v>5</v>
      </c>
      <c r="AR51" s="129">
        <v>5</v>
      </c>
      <c r="AS51" s="33">
        <v>5</v>
      </c>
    </row>
    <row r="52" spans="1:45" x14ac:dyDescent="0.2">
      <c r="A52" s="232"/>
      <c r="B52" s="231" t="str">
        <f t="shared" si="3"/>
        <v>5.11.2 / 7.12.1</v>
      </c>
      <c r="C52" s="231"/>
      <c r="D52" s="15" t="s">
        <v>31</v>
      </c>
      <c r="E52" s="15">
        <f t="shared" si="4"/>
        <v>3.5</v>
      </c>
      <c r="F52" s="15">
        <f t="shared" si="5"/>
        <v>5</v>
      </c>
      <c r="G52" s="15" t="s">
        <v>21</v>
      </c>
      <c r="H52" s="15">
        <v>2</v>
      </c>
      <c r="I52" s="168"/>
      <c r="J52" s="168"/>
      <c r="K52" s="169"/>
      <c r="M52" s="143" t="s">
        <v>570</v>
      </c>
      <c r="N52" s="144" t="s">
        <v>572</v>
      </c>
      <c r="O52" s="144" t="s">
        <v>568</v>
      </c>
      <c r="P52" s="144" t="s">
        <v>562</v>
      </c>
      <c r="Q52" s="144" t="s">
        <v>582</v>
      </c>
      <c r="R52" s="145" t="s">
        <v>588</v>
      </c>
      <c r="T52" s="72">
        <v>3.5</v>
      </c>
      <c r="U52" s="129">
        <v>3.5</v>
      </c>
      <c r="V52" s="129">
        <v>3.5</v>
      </c>
      <c r="W52" s="129">
        <v>3.5</v>
      </c>
      <c r="X52" s="129">
        <v>3.5</v>
      </c>
      <c r="Y52" s="129">
        <v>3.5</v>
      </c>
      <c r="Z52" s="129">
        <v>3.5</v>
      </c>
      <c r="AA52" s="129">
        <v>3.5</v>
      </c>
      <c r="AB52" s="129">
        <v>3.5</v>
      </c>
      <c r="AC52" s="129">
        <v>3.5</v>
      </c>
      <c r="AD52" s="129">
        <v>3.5</v>
      </c>
      <c r="AE52" s="129">
        <v>3.5</v>
      </c>
      <c r="AF52" s="129">
        <v>3.5</v>
      </c>
      <c r="AG52" s="129">
        <v>5</v>
      </c>
      <c r="AH52" s="129">
        <v>5</v>
      </c>
      <c r="AI52" s="129">
        <v>5</v>
      </c>
      <c r="AJ52" s="129">
        <v>5</v>
      </c>
      <c r="AK52" s="129">
        <v>5</v>
      </c>
      <c r="AL52" s="129">
        <v>5</v>
      </c>
      <c r="AM52" s="129">
        <v>5</v>
      </c>
      <c r="AN52" s="129">
        <v>5</v>
      </c>
      <c r="AO52" s="129">
        <v>5</v>
      </c>
      <c r="AP52" s="129">
        <v>5</v>
      </c>
      <c r="AQ52" s="129">
        <v>5</v>
      </c>
      <c r="AR52" s="129">
        <v>5</v>
      </c>
      <c r="AS52" s="33">
        <v>5</v>
      </c>
    </row>
    <row r="53" spans="1:45" x14ac:dyDescent="0.2">
      <c r="A53" s="232"/>
      <c r="B53" s="231" t="str">
        <f t="shared" si="3"/>
        <v>5.11.2 / 7.12.1</v>
      </c>
      <c r="C53" s="231"/>
      <c r="D53" s="15" t="s">
        <v>36</v>
      </c>
      <c r="E53" s="15">
        <f t="shared" si="4"/>
        <v>3.5</v>
      </c>
      <c r="F53" s="15">
        <f t="shared" si="5"/>
        <v>5</v>
      </c>
      <c r="G53" s="15" t="s">
        <v>21</v>
      </c>
      <c r="H53" s="15">
        <v>2</v>
      </c>
      <c r="I53" s="168"/>
      <c r="J53" s="168"/>
      <c r="K53" s="169"/>
      <c r="M53" s="143" t="s">
        <v>570</v>
      </c>
      <c r="N53" s="144" t="s">
        <v>572</v>
      </c>
      <c r="O53" s="144" t="s">
        <v>568</v>
      </c>
      <c r="P53" s="144" t="s">
        <v>562</v>
      </c>
      <c r="Q53" s="144" t="s">
        <v>582</v>
      </c>
      <c r="R53" s="145" t="s">
        <v>588</v>
      </c>
      <c r="T53" s="72">
        <v>3.5</v>
      </c>
      <c r="U53" s="129">
        <v>3.5</v>
      </c>
      <c r="V53" s="129">
        <v>3.5</v>
      </c>
      <c r="W53" s="129">
        <v>3.5</v>
      </c>
      <c r="X53" s="129">
        <v>3.5</v>
      </c>
      <c r="Y53" s="129">
        <v>3.5</v>
      </c>
      <c r="Z53" s="129">
        <v>3.5</v>
      </c>
      <c r="AA53" s="129">
        <v>3.5</v>
      </c>
      <c r="AB53" s="129">
        <v>3.5</v>
      </c>
      <c r="AC53" s="129">
        <v>3.5</v>
      </c>
      <c r="AD53" s="129">
        <v>3.5</v>
      </c>
      <c r="AE53" s="129">
        <v>3.5</v>
      </c>
      <c r="AF53" s="129">
        <v>3.5</v>
      </c>
      <c r="AG53" s="129">
        <v>5</v>
      </c>
      <c r="AH53" s="129">
        <v>5</v>
      </c>
      <c r="AI53" s="129">
        <v>5</v>
      </c>
      <c r="AJ53" s="129">
        <v>5</v>
      </c>
      <c r="AK53" s="129">
        <v>5</v>
      </c>
      <c r="AL53" s="129">
        <v>5</v>
      </c>
      <c r="AM53" s="129">
        <v>5</v>
      </c>
      <c r="AN53" s="129">
        <v>5</v>
      </c>
      <c r="AO53" s="129">
        <v>5</v>
      </c>
      <c r="AP53" s="129">
        <v>5</v>
      </c>
      <c r="AQ53" s="129">
        <v>5</v>
      </c>
      <c r="AR53" s="129">
        <v>5</v>
      </c>
      <c r="AS53" s="33">
        <v>5</v>
      </c>
    </row>
    <row r="54" spans="1:45" x14ac:dyDescent="0.2">
      <c r="A54" s="232"/>
      <c r="B54" s="231" t="str">
        <f t="shared" si="3"/>
        <v>5.11.2 / 7.12.1</v>
      </c>
      <c r="C54" s="231"/>
      <c r="D54" s="15" t="s">
        <v>32</v>
      </c>
      <c r="E54" s="15">
        <f t="shared" si="4"/>
        <v>3.5</v>
      </c>
      <c r="F54" s="15">
        <f t="shared" si="5"/>
        <v>5</v>
      </c>
      <c r="G54" s="15" t="s">
        <v>21</v>
      </c>
      <c r="H54" s="15">
        <v>2</v>
      </c>
      <c r="I54" s="168"/>
      <c r="J54" s="168"/>
      <c r="K54" s="169"/>
      <c r="M54" s="143" t="s">
        <v>570</v>
      </c>
      <c r="N54" s="144" t="s">
        <v>572</v>
      </c>
      <c r="O54" s="144" t="s">
        <v>568</v>
      </c>
      <c r="P54" s="144" t="s">
        <v>562</v>
      </c>
      <c r="Q54" s="144" t="s">
        <v>582</v>
      </c>
      <c r="R54" s="145" t="s">
        <v>588</v>
      </c>
      <c r="T54" s="72">
        <v>3.5</v>
      </c>
      <c r="U54" s="129">
        <v>3.5</v>
      </c>
      <c r="V54" s="129">
        <v>3.5</v>
      </c>
      <c r="W54" s="129">
        <v>3.5</v>
      </c>
      <c r="X54" s="129">
        <v>3.5</v>
      </c>
      <c r="Y54" s="129">
        <v>3.5</v>
      </c>
      <c r="Z54" s="129">
        <v>3.5</v>
      </c>
      <c r="AA54" s="129">
        <v>3.5</v>
      </c>
      <c r="AB54" s="129">
        <v>3.5</v>
      </c>
      <c r="AC54" s="129">
        <v>3.5</v>
      </c>
      <c r="AD54" s="129">
        <v>3.5</v>
      </c>
      <c r="AE54" s="129">
        <v>3.5</v>
      </c>
      <c r="AF54" s="129">
        <v>3.5</v>
      </c>
      <c r="AG54" s="129">
        <v>5</v>
      </c>
      <c r="AH54" s="129">
        <v>5</v>
      </c>
      <c r="AI54" s="129">
        <v>5</v>
      </c>
      <c r="AJ54" s="129">
        <v>5</v>
      </c>
      <c r="AK54" s="129">
        <v>5</v>
      </c>
      <c r="AL54" s="129">
        <v>5</v>
      </c>
      <c r="AM54" s="129">
        <v>5</v>
      </c>
      <c r="AN54" s="129">
        <v>5</v>
      </c>
      <c r="AO54" s="129">
        <v>5</v>
      </c>
      <c r="AP54" s="129">
        <v>5</v>
      </c>
      <c r="AQ54" s="129">
        <v>5</v>
      </c>
      <c r="AR54" s="129">
        <v>5</v>
      </c>
      <c r="AS54" s="33">
        <v>5</v>
      </c>
    </row>
    <row r="55" spans="1:45" x14ac:dyDescent="0.2">
      <c r="A55" s="232"/>
      <c r="B55" s="231" t="str">
        <f t="shared" si="3"/>
        <v>5.11.2 / 7.12.1</v>
      </c>
      <c r="C55" s="231"/>
      <c r="D55" s="15" t="s">
        <v>33</v>
      </c>
      <c r="E55" s="15">
        <f t="shared" si="4"/>
        <v>3.5</v>
      </c>
      <c r="F55" s="15">
        <f t="shared" si="5"/>
        <v>5</v>
      </c>
      <c r="G55" s="15" t="s">
        <v>21</v>
      </c>
      <c r="H55" s="15">
        <v>2</v>
      </c>
      <c r="I55" s="168"/>
      <c r="J55" s="168"/>
      <c r="K55" s="169"/>
      <c r="M55" s="143" t="s">
        <v>570</v>
      </c>
      <c r="N55" s="144" t="s">
        <v>572</v>
      </c>
      <c r="O55" s="144" t="s">
        <v>568</v>
      </c>
      <c r="P55" s="144" t="s">
        <v>562</v>
      </c>
      <c r="Q55" s="144" t="s">
        <v>582</v>
      </c>
      <c r="R55" s="145" t="s">
        <v>588</v>
      </c>
      <c r="T55" s="72">
        <v>3.5</v>
      </c>
      <c r="U55" s="129">
        <v>3.5</v>
      </c>
      <c r="V55" s="129">
        <v>3.5</v>
      </c>
      <c r="W55" s="129">
        <v>3.5</v>
      </c>
      <c r="X55" s="129">
        <v>3.5</v>
      </c>
      <c r="Y55" s="129">
        <v>3.5</v>
      </c>
      <c r="Z55" s="129">
        <v>3.5</v>
      </c>
      <c r="AA55" s="129">
        <v>3.5</v>
      </c>
      <c r="AB55" s="129">
        <v>3.5</v>
      </c>
      <c r="AC55" s="129">
        <v>3.5</v>
      </c>
      <c r="AD55" s="129">
        <v>3.5</v>
      </c>
      <c r="AE55" s="129">
        <v>3.5</v>
      </c>
      <c r="AF55" s="129">
        <v>3.5</v>
      </c>
      <c r="AG55" s="129">
        <v>5</v>
      </c>
      <c r="AH55" s="129">
        <v>5</v>
      </c>
      <c r="AI55" s="129">
        <v>5</v>
      </c>
      <c r="AJ55" s="129">
        <v>5</v>
      </c>
      <c r="AK55" s="129">
        <v>5</v>
      </c>
      <c r="AL55" s="129">
        <v>5</v>
      </c>
      <c r="AM55" s="129">
        <v>5</v>
      </c>
      <c r="AN55" s="129">
        <v>5</v>
      </c>
      <c r="AO55" s="129">
        <v>5</v>
      </c>
      <c r="AP55" s="129">
        <v>5</v>
      </c>
      <c r="AQ55" s="129">
        <v>5</v>
      </c>
      <c r="AR55" s="129">
        <v>5</v>
      </c>
      <c r="AS55" s="33">
        <v>5</v>
      </c>
    </row>
    <row r="56" spans="1:45" x14ac:dyDescent="0.2">
      <c r="A56" s="232"/>
      <c r="B56" s="231" t="str">
        <f t="shared" si="3"/>
        <v>5.11.2 / 7.12.1</v>
      </c>
      <c r="C56" s="231"/>
      <c r="D56" s="15" t="s">
        <v>34</v>
      </c>
      <c r="E56" s="15">
        <f t="shared" si="4"/>
        <v>3.5</v>
      </c>
      <c r="F56" s="15">
        <f t="shared" si="5"/>
        <v>5</v>
      </c>
      <c r="G56" s="15" t="s">
        <v>21</v>
      </c>
      <c r="H56" s="15">
        <v>2</v>
      </c>
      <c r="I56" s="168"/>
      <c r="J56" s="168"/>
      <c r="K56" s="169"/>
      <c r="M56" s="143" t="s">
        <v>570</v>
      </c>
      <c r="N56" s="144" t="s">
        <v>572</v>
      </c>
      <c r="O56" s="144" t="s">
        <v>568</v>
      </c>
      <c r="P56" s="144" t="s">
        <v>562</v>
      </c>
      <c r="Q56" s="144" t="s">
        <v>582</v>
      </c>
      <c r="R56" s="145" t="s">
        <v>588</v>
      </c>
      <c r="T56" s="72">
        <v>3.5</v>
      </c>
      <c r="U56" s="129">
        <v>3.5</v>
      </c>
      <c r="V56" s="129">
        <v>3.5</v>
      </c>
      <c r="W56" s="129">
        <v>3.5</v>
      </c>
      <c r="X56" s="129">
        <v>3.5</v>
      </c>
      <c r="Y56" s="129">
        <v>3.5</v>
      </c>
      <c r="Z56" s="129">
        <v>3.5</v>
      </c>
      <c r="AA56" s="129">
        <v>3.5</v>
      </c>
      <c r="AB56" s="129">
        <v>3.5</v>
      </c>
      <c r="AC56" s="129">
        <v>3.5</v>
      </c>
      <c r="AD56" s="129">
        <v>3.5</v>
      </c>
      <c r="AE56" s="129">
        <v>3.5</v>
      </c>
      <c r="AF56" s="129">
        <v>3.5</v>
      </c>
      <c r="AG56" s="129">
        <v>5</v>
      </c>
      <c r="AH56" s="129">
        <v>5</v>
      </c>
      <c r="AI56" s="129">
        <v>5</v>
      </c>
      <c r="AJ56" s="129">
        <v>5</v>
      </c>
      <c r="AK56" s="129">
        <v>5</v>
      </c>
      <c r="AL56" s="129">
        <v>5</v>
      </c>
      <c r="AM56" s="129">
        <v>5</v>
      </c>
      <c r="AN56" s="129">
        <v>5</v>
      </c>
      <c r="AO56" s="129">
        <v>5</v>
      </c>
      <c r="AP56" s="129">
        <v>5</v>
      </c>
      <c r="AQ56" s="129">
        <v>5</v>
      </c>
      <c r="AR56" s="129">
        <v>5</v>
      </c>
      <c r="AS56" s="33">
        <v>5</v>
      </c>
    </row>
    <row r="57" spans="1:45" x14ac:dyDescent="0.2">
      <c r="A57" s="232"/>
      <c r="B57" s="231" t="str">
        <f t="shared" si="3"/>
        <v>5.11.2 / 7.12.1</v>
      </c>
      <c r="C57" s="231"/>
      <c r="D57" s="15" t="s">
        <v>35</v>
      </c>
      <c r="E57" s="15">
        <f t="shared" si="4"/>
        <v>3.5</v>
      </c>
      <c r="F57" s="15">
        <f t="shared" si="5"/>
        <v>5</v>
      </c>
      <c r="G57" s="15" t="s">
        <v>21</v>
      </c>
      <c r="H57" s="15">
        <v>2</v>
      </c>
      <c r="I57" s="168"/>
      <c r="J57" s="168"/>
      <c r="K57" s="169"/>
      <c r="M57" s="143" t="s">
        <v>570</v>
      </c>
      <c r="N57" s="144" t="s">
        <v>572</v>
      </c>
      <c r="O57" s="144" t="s">
        <v>568</v>
      </c>
      <c r="P57" s="144" t="s">
        <v>562</v>
      </c>
      <c r="Q57" s="144" t="s">
        <v>582</v>
      </c>
      <c r="R57" s="145" t="s">
        <v>588</v>
      </c>
      <c r="T57" s="72">
        <v>3.5</v>
      </c>
      <c r="U57" s="129">
        <v>3.5</v>
      </c>
      <c r="V57" s="129">
        <v>3.5</v>
      </c>
      <c r="W57" s="129">
        <v>3.5</v>
      </c>
      <c r="X57" s="129">
        <v>3.5</v>
      </c>
      <c r="Y57" s="129">
        <v>3.5</v>
      </c>
      <c r="Z57" s="129">
        <v>3.5</v>
      </c>
      <c r="AA57" s="129">
        <v>3.5</v>
      </c>
      <c r="AB57" s="129">
        <v>3.5</v>
      </c>
      <c r="AC57" s="129">
        <v>3.5</v>
      </c>
      <c r="AD57" s="129">
        <v>3.5</v>
      </c>
      <c r="AE57" s="129">
        <v>3.5</v>
      </c>
      <c r="AF57" s="129">
        <v>3.5</v>
      </c>
      <c r="AG57" s="129">
        <v>5</v>
      </c>
      <c r="AH57" s="129">
        <v>5</v>
      </c>
      <c r="AI57" s="129">
        <v>5</v>
      </c>
      <c r="AJ57" s="129">
        <v>5</v>
      </c>
      <c r="AK57" s="129">
        <v>5</v>
      </c>
      <c r="AL57" s="129">
        <v>5</v>
      </c>
      <c r="AM57" s="129">
        <v>5</v>
      </c>
      <c r="AN57" s="129">
        <v>5</v>
      </c>
      <c r="AO57" s="129">
        <v>5</v>
      </c>
      <c r="AP57" s="129">
        <v>5</v>
      </c>
      <c r="AQ57" s="129">
        <v>5</v>
      </c>
      <c r="AR57" s="129">
        <v>5</v>
      </c>
      <c r="AS57" s="33">
        <v>5</v>
      </c>
    </row>
    <row r="58" spans="1:45" x14ac:dyDescent="0.2">
      <c r="A58" s="232"/>
      <c r="B58" s="231" t="str">
        <f t="shared" si="3"/>
        <v>5.11.2 / 7.12.1</v>
      </c>
      <c r="C58" s="231" t="s">
        <v>38</v>
      </c>
      <c r="D58" s="15" t="s">
        <v>29</v>
      </c>
      <c r="E58" s="15">
        <f t="shared" si="4"/>
        <v>3.5</v>
      </c>
      <c r="F58" s="15">
        <f t="shared" si="5"/>
        <v>5</v>
      </c>
      <c r="G58" s="15" t="s">
        <v>21</v>
      </c>
      <c r="H58" s="15">
        <v>2</v>
      </c>
      <c r="I58" s="168"/>
      <c r="J58" s="168"/>
      <c r="K58" s="169"/>
      <c r="M58" s="143" t="s">
        <v>570</v>
      </c>
      <c r="N58" s="144" t="s">
        <v>572</v>
      </c>
      <c r="O58" s="144" t="s">
        <v>568</v>
      </c>
      <c r="P58" s="144" t="s">
        <v>562</v>
      </c>
      <c r="Q58" s="144" t="s">
        <v>582</v>
      </c>
      <c r="R58" s="145" t="s">
        <v>588</v>
      </c>
      <c r="T58" s="72">
        <v>3.5</v>
      </c>
      <c r="U58" s="129">
        <v>3.5</v>
      </c>
      <c r="V58" s="129">
        <v>3.5</v>
      </c>
      <c r="W58" s="129">
        <v>3.5</v>
      </c>
      <c r="X58" s="129">
        <v>3.5</v>
      </c>
      <c r="Y58" s="129">
        <v>3.5</v>
      </c>
      <c r="Z58" s="129">
        <v>3.5</v>
      </c>
      <c r="AA58" s="129">
        <v>3.5</v>
      </c>
      <c r="AB58" s="129">
        <v>3.5</v>
      </c>
      <c r="AC58" s="129">
        <v>3.5</v>
      </c>
      <c r="AD58" s="129">
        <v>3.5</v>
      </c>
      <c r="AE58" s="129">
        <v>3.5</v>
      </c>
      <c r="AF58" s="129">
        <v>3.5</v>
      </c>
      <c r="AG58" s="129">
        <v>5</v>
      </c>
      <c r="AH58" s="129">
        <v>5</v>
      </c>
      <c r="AI58" s="129">
        <v>5</v>
      </c>
      <c r="AJ58" s="129">
        <v>5</v>
      </c>
      <c r="AK58" s="129">
        <v>5</v>
      </c>
      <c r="AL58" s="129">
        <v>5</v>
      </c>
      <c r="AM58" s="129">
        <v>5</v>
      </c>
      <c r="AN58" s="129">
        <v>5</v>
      </c>
      <c r="AO58" s="129">
        <v>5</v>
      </c>
      <c r="AP58" s="129">
        <v>5</v>
      </c>
      <c r="AQ58" s="129">
        <v>5</v>
      </c>
      <c r="AR58" s="129">
        <v>5</v>
      </c>
      <c r="AS58" s="33">
        <v>5</v>
      </c>
    </row>
    <row r="59" spans="1:45" x14ac:dyDescent="0.2">
      <c r="A59" s="232"/>
      <c r="B59" s="231" t="str">
        <f t="shared" si="3"/>
        <v>5.11.2 / 7.12.1</v>
      </c>
      <c r="C59" s="231"/>
      <c r="D59" s="15" t="s">
        <v>30</v>
      </c>
      <c r="E59" s="15">
        <f t="shared" si="4"/>
        <v>3.5</v>
      </c>
      <c r="F59" s="15">
        <f t="shared" si="5"/>
        <v>5</v>
      </c>
      <c r="G59" s="15" t="s">
        <v>21</v>
      </c>
      <c r="H59" s="15">
        <v>2</v>
      </c>
      <c r="I59" s="168"/>
      <c r="J59" s="168"/>
      <c r="K59" s="169"/>
      <c r="M59" s="143" t="s">
        <v>570</v>
      </c>
      <c r="N59" s="144" t="s">
        <v>572</v>
      </c>
      <c r="O59" s="144" t="s">
        <v>568</v>
      </c>
      <c r="P59" s="144" t="s">
        <v>562</v>
      </c>
      <c r="Q59" s="144" t="s">
        <v>582</v>
      </c>
      <c r="R59" s="145" t="s">
        <v>588</v>
      </c>
      <c r="T59" s="72">
        <v>3.5</v>
      </c>
      <c r="U59" s="129">
        <v>3.5</v>
      </c>
      <c r="V59" s="129">
        <v>3.5</v>
      </c>
      <c r="W59" s="129">
        <v>3.5</v>
      </c>
      <c r="X59" s="129">
        <v>3.5</v>
      </c>
      <c r="Y59" s="129">
        <v>3.5</v>
      </c>
      <c r="Z59" s="129">
        <v>3.5</v>
      </c>
      <c r="AA59" s="129">
        <v>3.5</v>
      </c>
      <c r="AB59" s="129">
        <v>3.5</v>
      </c>
      <c r="AC59" s="129">
        <v>3.5</v>
      </c>
      <c r="AD59" s="129">
        <v>3.5</v>
      </c>
      <c r="AE59" s="129">
        <v>3.5</v>
      </c>
      <c r="AF59" s="129">
        <v>3.5</v>
      </c>
      <c r="AG59" s="129">
        <v>5</v>
      </c>
      <c r="AH59" s="129">
        <v>5</v>
      </c>
      <c r="AI59" s="129">
        <v>5</v>
      </c>
      <c r="AJ59" s="129">
        <v>5</v>
      </c>
      <c r="AK59" s="129">
        <v>5</v>
      </c>
      <c r="AL59" s="129">
        <v>5</v>
      </c>
      <c r="AM59" s="129">
        <v>5</v>
      </c>
      <c r="AN59" s="129">
        <v>5</v>
      </c>
      <c r="AO59" s="129">
        <v>5</v>
      </c>
      <c r="AP59" s="129">
        <v>5</v>
      </c>
      <c r="AQ59" s="129">
        <v>5</v>
      </c>
      <c r="AR59" s="129">
        <v>5</v>
      </c>
      <c r="AS59" s="33">
        <v>5</v>
      </c>
    </row>
    <row r="60" spans="1:45" x14ac:dyDescent="0.2">
      <c r="A60" s="232"/>
      <c r="B60" s="231" t="str">
        <f t="shared" si="3"/>
        <v>5.11.2 / 7.12.1</v>
      </c>
      <c r="C60" s="231"/>
      <c r="D60" s="15" t="s">
        <v>31</v>
      </c>
      <c r="E60" s="15">
        <f t="shared" si="4"/>
        <v>3.5</v>
      </c>
      <c r="F60" s="15">
        <f t="shared" si="5"/>
        <v>5</v>
      </c>
      <c r="G60" s="15" t="s">
        <v>21</v>
      </c>
      <c r="H60" s="15">
        <v>2</v>
      </c>
      <c r="I60" s="168"/>
      <c r="J60" s="168"/>
      <c r="K60" s="169"/>
      <c r="M60" s="143" t="s">
        <v>570</v>
      </c>
      <c r="N60" s="144" t="s">
        <v>572</v>
      </c>
      <c r="O60" s="144" t="s">
        <v>568</v>
      </c>
      <c r="P60" s="144" t="s">
        <v>562</v>
      </c>
      <c r="Q60" s="144" t="s">
        <v>582</v>
      </c>
      <c r="R60" s="145" t="s">
        <v>588</v>
      </c>
      <c r="T60" s="72">
        <v>3.5</v>
      </c>
      <c r="U60" s="129">
        <v>3.5</v>
      </c>
      <c r="V60" s="129">
        <v>3.5</v>
      </c>
      <c r="W60" s="129">
        <v>3.5</v>
      </c>
      <c r="X60" s="129">
        <v>3.5</v>
      </c>
      <c r="Y60" s="129">
        <v>3.5</v>
      </c>
      <c r="Z60" s="129">
        <v>3.5</v>
      </c>
      <c r="AA60" s="129">
        <v>3.5</v>
      </c>
      <c r="AB60" s="129">
        <v>3.5</v>
      </c>
      <c r="AC60" s="129">
        <v>3.5</v>
      </c>
      <c r="AD60" s="129">
        <v>3.5</v>
      </c>
      <c r="AE60" s="129">
        <v>3.5</v>
      </c>
      <c r="AF60" s="129">
        <v>3.5</v>
      </c>
      <c r="AG60" s="129">
        <v>5</v>
      </c>
      <c r="AH60" s="129">
        <v>5</v>
      </c>
      <c r="AI60" s="129">
        <v>5</v>
      </c>
      <c r="AJ60" s="129">
        <v>5</v>
      </c>
      <c r="AK60" s="129">
        <v>5</v>
      </c>
      <c r="AL60" s="129">
        <v>5</v>
      </c>
      <c r="AM60" s="129">
        <v>5</v>
      </c>
      <c r="AN60" s="129">
        <v>5</v>
      </c>
      <c r="AO60" s="129">
        <v>5</v>
      </c>
      <c r="AP60" s="129">
        <v>5</v>
      </c>
      <c r="AQ60" s="129">
        <v>5</v>
      </c>
      <c r="AR60" s="129">
        <v>5</v>
      </c>
      <c r="AS60" s="33">
        <v>5</v>
      </c>
    </row>
    <row r="61" spans="1:45" x14ac:dyDescent="0.2">
      <c r="A61" s="232"/>
      <c r="B61" s="231" t="str">
        <f t="shared" si="3"/>
        <v>5.11.2 / 7.12.1</v>
      </c>
      <c r="C61" s="231"/>
      <c r="D61" s="15" t="s">
        <v>36</v>
      </c>
      <c r="E61" s="15">
        <f t="shared" si="4"/>
        <v>3.5</v>
      </c>
      <c r="F61" s="15">
        <f t="shared" si="5"/>
        <v>5</v>
      </c>
      <c r="G61" s="15" t="s">
        <v>21</v>
      </c>
      <c r="H61" s="15">
        <v>2</v>
      </c>
      <c r="I61" s="168"/>
      <c r="J61" s="168"/>
      <c r="K61" s="169"/>
      <c r="M61" s="143" t="s">
        <v>570</v>
      </c>
      <c r="N61" s="144" t="s">
        <v>572</v>
      </c>
      <c r="O61" s="144" t="s">
        <v>568</v>
      </c>
      <c r="P61" s="144" t="s">
        <v>562</v>
      </c>
      <c r="Q61" s="144" t="s">
        <v>582</v>
      </c>
      <c r="R61" s="145" t="s">
        <v>588</v>
      </c>
      <c r="T61" s="72">
        <v>3.5</v>
      </c>
      <c r="U61" s="129">
        <v>3.5</v>
      </c>
      <c r="V61" s="129">
        <v>3.5</v>
      </c>
      <c r="W61" s="129">
        <v>3.5</v>
      </c>
      <c r="X61" s="129">
        <v>3.5</v>
      </c>
      <c r="Y61" s="129">
        <v>3.5</v>
      </c>
      <c r="Z61" s="129">
        <v>3.5</v>
      </c>
      <c r="AA61" s="129">
        <v>3.5</v>
      </c>
      <c r="AB61" s="129">
        <v>3.5</v>
      </c>
      <c r="AC61" s="129">
        <v>3.5</v>
      </c>
      <c r="AD61" s="129">
        <v>3.5</v>
      </c>
      <c r="AE61" s="129">
        <v>3.5</v>
      </c>
      <c r="AF61" s="129">
        <v>3.5</v>
      </c>
      <c r="AG61" s="129">
        <v>5</v>
      </c>
      <c r="AH61" s="129">
        <v>5</v>
      </c>
      <c r="AI61" s="129">
        <v>5</v>
      </c>
      <c r="AJ61" s="129">
        <v>5</v>
      </c>
      <c r="AK61" s="129">
        <v>5</v>
      </c>
      <c r="AL61" s="129">
        <v>5</v>
      </c>
      <c r="AM61" s="129">
        <v>5</v>
      </c>
      <c r="AN61" s="129">
        <v>5</v>
      </c>
      <c r="AO61" s="129">
        <v>5</v>
      </c>
      <c r="AP61" s="129">
        <v>5</v>
      </c>
      <c r="AQ61" s="129">
        <v>5</v>
      </c>
      <c r="AR61" s="129">
        <v>5</v>
      </c>
      <c r="AS61" s="33">
        <v>5</v>
      </c>
    </row>
    <row r="62" spans="1:45" x14ac:dyDescent="0.2">
      <c r="A62" s="232"/>
      <c r="B62" s="231" t="str">
        <f t="shared" si="3"/>
        <v>5.11.2 / 7.12.1</v>
      </c>
      <c r="C62" s="231"/>
      <c r="D62" s="15" t="s">
        <v>32</v>
      </c>
      <c r="E62" s="15">
        <f t="shared" si="4"/>
        <v>3.5</v>
      </c>
      <c r="F62" s="15">
        <f t="shared" si="5"/>
        <v>5</v>
      </c>
      <c r="G62" s="15" t="s">
        <v>21</v>
      </c>
      <c r="H62" s="15">
        <v>2</v>
      </c>
      <c r="I62" s="168"/>
      <c r="J62" s="168"/>
      <c r="K62" s="169"/>
      <c r="M62" s="143" t="s">
        <v>570</v>
      </c>
      <c r="N62" s="144" t="s">
        <v>572</v>
      </c>
      <c r="O62" s="144" t="s">
        <v>568</v>
      </c>
      <c r="P62" s="144" t="s">
        <v>562</v>
      </c>
      <c r="Q62" s="144" t="s">
        <v>582</v>
      </c>
      <c r="R62" s="145" t="s">
        <v>588</v>
      </c>
      <c r="T62" s="72">
        <v>3.5</v>
      </c>
      <c r="U62" s="129">
        <v>3.5</v>
      </c>
      <c r="V62" s="129">
        <v>3.5</v>
      </c>
      <c r="W62" s="129">
        <v>3.5</v>
      </c>
      <c r="X62" s="129">
        <v>3.5</v>
      </c>
      <c r="Y62" s="129">
        <v>3.5</v>
      </c>
      <c r="Z62" s="129">
        <v>3.5</v>
      </c>
      <c r="AA62" s="129">
        <v>3.5</v>
      </c>
      <c r="AB62" s="129">
        <v>3.5</v>
      </c>
      <c r="AC62" s="129">
        <v>3.5</v>
      </c>
      <c r="AD62" s="129">
        <v>3.5</v>
      </c>
      <c r="AE62" s="129">
        <v>3.5</v>
      </c>
      <c r="AF62" s="129">
        <v>3.5</v>
      </c>
      <c r="AG62" s="129">
        <v>5</v>
      </c>
      <c r="AH62" s="129">
        <v>5</v>
      </c>
      <c r="AI62" s="129">
        <v>5</v>
      </c>
      <c r="AJ62" s="129">
        <v>5</v>
      </c>
      <c r="AK62" s="129">
        <v>5</v>
      </c>
      <c r="AL62" s="129">
        <v>5</v>
      </c>
      <c r="AM62" s="129">
        <v>5</v>
      </c>
      <c r="AN62" s="129">
        <v>5</v>
      </c>
      <c r="AO62" s="129">
        <v>5</v>
      </c>
      <c r="AP62" s="129">
        <v>5</v>
      </c>
      <c r="AQ62" s="129">
        <v>5</v>
      </c>
      <c r="AR62" s="129">
        <v>5</v>
      </c>
      <c r="AS62" s="33">
        <v>5</v>
      </c>
    </row>
    <row r="63" spans="1:45" x14ac:dyDescent="0.2">
      <c r="A63" s="232"/>
      <c r="B63" s="231" t="str">
        <f t="shared" si="3"/>
        <v>5.11.2 / 7.12.1</v>
      </c>
      <c r="C63" s="231"/>
      <c r="D63" s="15" t="s">
        <v>33</v>
      </c>
      <c r="E63" s="15">
        <f t="shared" si="4"/>
        <v>3.5</v>
      </c>
      <c r="F63" s="15">
        <f t="shared" si="5"/>
        <v>5</v>
      </c>
      <c r="G63" s="15" t="s">
        <v>21</v>
      </c>
      <c r="H63" s="15">
        <v>2</v>
      </c>
      <c r="I63" s="168"/>
      <c r="J63" s="168"/>
      <c r="K63" s="169"/>
      <c r="M63" s="143" t="s">
        <v>570</v>
      </c>
      <c r="N63" s="144" t="s">
        <v>572</v>
      </c>
      <c r="O63" s="144" t="s">
        <v>568</v>
      </c>
      <c r="P63" s="144" t="s">
        <v>562</v>
      </c>
      <c r="Q63" s="144" t="s">
        <v>582</v>
      </c>
      <c r="R63" s="145" t="s">
        <v>588</v>
      </c>
      <c r="T63" s="72">
        <v>3.5</v>
      </c>
      <c r="U63" s="129">
        <v>3.5</v>
      </c>
      <c r="V63" s="129">
        <v>3.5</v>
      </c>
      <c r="W63" s="129">
        <v>3.5</v>
      </c>
      <c r="X63" s="129">
        <v>3.5</v>
      </c>
      <c r="Y63" s="129">
        <v>3.5</v>
      </c>
      <c r="Z63" s="129">
        <v>3.5</v>
      </c>
      <c r="AA63" s="129">
        <v>3.5</v>
      </c>
      <c r="AB63" s="129">
        <v>3.5</v>
      </c>
      <c r="AC63" s="129">
        <v>3.5</v>
      </c>
      <c r="AD63" s="129">
        <v>3.5</v>
      </c>
      <c r="AE63" s="129">
        <v>3.5</v>
      </c>
      <c r="AF63" s="129">
        <v>3.5</v>
      </c>
      <c r="AG63" s="129">
        <v>5</v>
      </c>
      <c r="AH63" s="129">
        <v>5</v>
      </c>
      <c r="AI63" s="129">
        <v>5</v>
      </c>
      <c r="AJ63" s="129">
        <v>5</v>
      </c>
      <c r="AK63" s="129">
        <v>5</v>
      </c>
      <c r="AL63" s="129">
        <v>5</v>
      </c>
      <c r="AM63" s="129">
        <v>5</v>
      </c>
      <c r="AN63" s="129">
        <v>5</v>
      </c>
      <c r="AO63" s="129">
        <v>5</v>
      </c>
      <c r="AP63" s="129">
        <v>5</v>
      </c>
      <c r="AQ63" s="129">
        <v>5</v>
      </c>
      <c r="AR63" s="129">
        <v>5</v>
      </c>
      <c r="AS63" s="33">
        <v>5</v>
      </c>
    </row>
    <row r="64" spans="1:45" x14ac:dyDescent="0.2">
      <c r="A64" s="232"/>
      <c r="B64" s="231" t="str">
        <f t="shared" si="3"/>
        <v>5.11.2 / 7.12.1</v>
      </c>
      <c r="C64" s="231"/>
      <c r="D64" s="15" t="s">
        <v>34</v>
      </c>
      <c r="E64" s="15">
        <f t="shared" si="4"/>
        <v>3.5</v>
      </c>
      <c r="F64" s="15">
        <f t="shared" si="5"/>
        <v>5</v>
      </c>
      <c r="G64" s="15" t="s">
        <v>21</v>
      </c>
      <c r="H64" s="15">
        <v>2</v>
      </c>
      <c r="I64" s="168"/>
      <c r="J64" s="168"/>
      <c r="K64" s="169"/>
      <c r="M64" s="143" t="s">
        <v>570</v>
      </c>
      <c r="N64" s="144" t="s">
        <v>572</v>
      </c>
      <c r="O64" s="144" t="s">
        <v>568</v>
      </c>
      <c r="P64" s="144" t="s">
        <v>562</v>
      </c>
      <c r="Q64" s="144" t="s">
        <v>582</v>
      </c>
      <c r="R64" s="145" t="s">
        <v>588</v>
      </c>
      <c r="T64" s="72">
        <v>3.5</v>
      </c>
      <c r="U64" s="129">
        <v>3.5</v>
      </c>
      <c r="V64" s="129">
        <v>3.5</v>
      </c>
      <c r="W64" s="129">
        <v>3.5</v>
      </c>
      <c r="X64" s="129">
        <v>3.5</v>
      </c>
      <c r="Y64" s="129">
        <v>3.5</v>
      </c>
      <c r="Z64" s="129">
        <v>3.5</v>
      </c>
      <c r="AA64" s="129">
        <v>3.5</v>
      </c>
      <c r="AB64" s="129">
        <v>3.5</v>
      </c>
      <c r="AC64" s="129">
        <v>3.5</v>
      </c>
      <c r="AD64" s="129">
        <v>3.5</v>
      </c>
      <c r="AE64" s="129">
        <v>3.5</v>
      </c>
      <c r="AF64" s="129">
        <v>3.5</v>
      </c>
      <c r="AG64" s="129">
        <v>5</v>
      </c>
      <c r="AH64" s="129">
        <v>5</v>
      </c>
      <c r="AI64" s="129">
        <v>5</v>
      </c>
      <c r="AJ64" s="129">
        <v>5</v>
      </c>
      <c r="AK64" s="129">
        <v>5</v>
      </c>
      <c r="AL64" s="129">
        <v>5</v>
      </c>
      <c r="AM64" s="129">
        <v>5</v>
      </c>
      <c r="AN64" s="129">
        <v>5</v>
      </c>
      <c r="AO64" s="129">
        <v>5</v>
      </c>
      <c r="AP64" s="129">
        <v>5</v>
      </c>
      <c r="AQ64" s="129">
        <v>5</v>
      </c>
      <c r="AR64" s="129">
        <v>5</v>
      </c>
      <c r="AS64" s="33">
        <v>5</v>
      </c>
    </row>
    <row r="65" spans="1:45" ht="15" thickBot="1" x14ac:dyDescent="0.25">
      <c r="A65" s="245"/>
      <c r="B65" s="246" t="str">
        <f t="shared" si="3"/>
        <v>5.11.2 / 7.12.1</v>
      </c>
      <c r="C65" s="246"/>
      <c r="D65" s="22" t="s">
        <v>35</v>
      </c>
      <c r="E65" s="22">
        <f t="shared" si="4"/>
        <v>3.5</v>
      </c>
      <c r="F65" s="22">
        <f t="shared" si="5"/>
        <v>5</v>
      </c>
      <c r="G65" s="22" t="s">
        <v>21</v>
      </c>
      <c r="H65" s="22">
        <v>2</v>
      </c>
      <c r="I65" s="170"/>
      <c r="J65" s="170"/>
      <c r="K65" s="171"/>
      <c r="M65" s="149" t="s">
        <v>570</v>
      </c>
      <c r="N65" s="150" t="s">
        <v>572</v>
      </c>
      <c r="O65" s="150" t="s">
        <v>568</v>
      </c>
      <c r="P65" s="150" t="s">
        <v>562</v>
      </c>
      <c r="Q65" s="150" t="s">
        <v>582</v>
      </c>
      <c r="R65" s="151" t="s">
        <v>588</v>
      </c>
      <c r="T65" s="84">
        <v>3.5</v>
      </c>
      <c r="U65" s="85">
        <v>3.5</v>
      </c>
      <c r="V65" s="85">
        <v>3.5</v>
      </c>
      <c r="W65" s="85">
        <v>3.5</v>
      </c>
      <c r="X65" s="85">
        <v>3.5</v>
      </c>
      <c r="Y65" s="85">
        <v>3.5</v>
      </c>
      <c r="Z65" s="85">
        <v>3.5</v>
      </c>
      <c r="AA65" s="85">
        <v>3.5</v>
      </c>
      <c r="AB65" s="85">
        <v>3.5</v>
      </c>
      <c r="AC65" s="85">
        <v>3.5</v>
      </c>
      <c r="AD65" s="85">
        <v>3.5</v>
      </c>
      <c r="AE65" s="85">
        <v>3.5</v>
      </c>
      <c r="AF65" s="85">
        <v>3.5</v>
      </c>
      <c r="AG65" s="85">
        <v>5</v>
      </c>
      <c r="AH65" s="85">
        <v>5</v>
      </c>
      <c r="AI65" s="85">
        <v>5</v>
      </c>
      <c r="AJ65" s="85">
        <v>5</v>
      </c>
      <c r="AK65" s="85">
        <v>5</v>
      </c>
      <c r="AL65" s="85">
        <v>5</v>
      </c>
      <c r="AM65" s="85">
        <v>5</v>
      </c>
      <c r="AN65" s="85">
        <v>5</v>
      </c>
      <c r="AO65" s="85">
        <v>5</v>
      </c>
      <c r="AP65" s="85">
        <v>5</v>
      </c>
      <c r="AQ65" s="85">
        <v>5</v>
      </c>
      <c r="AR65" s="85">
        <v>5</v>
      </c>
      <c r="AS65" s="86">
        <v>5</v>
      </c>
    </row>
    <row r="66" spans="1:45" s="2" customFormat="1" ht="15" thickBot="1" x14ac:dyDescent="0.25">
      <c r="A66" s="249" t="s">
        <v>591</v>
      </c>
      <c r="B66" s="250"/>
      <c r="C66" s="250"/>
      <c r="D66" s="250"/>
      <c r="E66" s="250"/>
      <c r="F66" s="250"/>
      <c r="G66" s="250"/>
      <c r="H66" s="250"/>
      <c r="I66" s="250"/>
      <c r="J66" s="250"/>
      <c r="K66" s="251"/>
      <c r="M66" s="133" t="s">
        <v>374</v>
      </c>
      <c r="N66" s="134" t="s">
        <v>108</v>
      </c>
      <c r="O66" s="134" t="s">
        <v>140</v>
      </c>
      <c r="P66" s="134" t="s">
        <v>374</v>
      </c>
      <c r="Q66" s="134" t="s">
        <v>108</v>
      </c>
      <c r="R66" s="135" t="s">
        <v>140</v>
      </c>
      <c r="T66" s="133" t="s">
        <v>41</v>
      </c>
      <c r="U66" s="134" t="s">
        <v>43</v>
      </c>
      <c r="V66" s="134" t="s">
        <v>41</v>
      </c>
      <c r="W66" s="134" t="s">
        <v>43</v>
      </c>
      <c r="X66" s="134" t="s">
        <v>42</v>
      </c>
      <c r="Y66" s="134" t="s">
        <v>45</v>
      </c>
      <c r="Z66" s="134" t="s">
        <v>53</v>
      </c>
      <c r="AA66" s="127" t="s">
        <v>142</v>
      </c>
      <c r="AB66" s="127" t="s">
        <v>141</v>
      </c>
      <c r="AC66" s="127" t="s">
        <v>139</v>
      </c>
      <c r="AD66" s="127" t="s">
        <v>44</v>
      </c>
      <c r="AE66" s="134" t="s">
        <v>108</v>
      </c>
      <c r="AF66" s="134" t="s">
        <v>140</v>
      </c>
      <c r="AG66" s="134" t="s">
        <v>41</v>
      </c>
      <c r="AH66" s="134" t="s">
        <v>43</v>
      </c>
      <c r="AI66" s="134" t="s">
        <v>41</v>
      </c>
      <c r="AJ66" s="134" t="s">
        <v>43</v>
      </c>
      <c r="AK66" s="134" t="s">
        <v>42</v>
      </c>
      <c r="AL66" s="134" t="s">
        <v>45</v>
      </c>
      <c r="AM66" s="134" t="s">
        <v>53</v>
      </c>
      <c r="AN66" s="127" t="s">
        <v>142</v>
      </c>
      <c r="AO66" s="127" t="s">
        <v>141</v>
      </c>
      <c r="AP66" s="127" t="s">
        <v>139</v>
      </c>
      <c r="AQ66" s="127" t="s">
        <v>44</v>
      </c>
      <c r="AR66" s="134" t="s">
        <v>108</v>
      </c>
      <c r="AS66" s="135" t="s">
        <v>140</v>
      </c>
    </row>
    <row r="67" spans="1:45" ht="15" thickTop="1" x14ac:dyDescent="0.2">
      <c r="A67" s="252" t="s">
        <v>112</v>
      </c>
      <c r="B67" s="247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 ""," / "&amp;HLOOKUP(SUBSTITUTE(SUBSTITUTE(SUBSTITUTE(SUBSTITUTE(SUBSTITUTE(VCBW,"AMR_",""),"EVS_",""),"SO3_",""),"SO68_",""),"SO73_",""),$P$3:$R$75,ROW(B67)-ROW($P$3)+1,FALSE))</f>
        <v>BigRules</v>
      </c>
      <c r="C67" s="231" t="s">
        <v>7</v>
      </c>
      <c r="D67" s="15" t="s">
        <v>69</v>
      </c>
      <c r="E67" s="15">
        <f>HLOOKUP(IF(OR("GSM"=Network,"WCDMA"=Network),"UMTS",IF(OR("VoLTE"=Network,"VoNR"=Network,"VoWiFi"=Network),"VoIMS",Network))&amp;" "&amp;VCBW,$T$3:$AF$75,ROW(E67)-ROW($T$3)+1,FALSE)</f>
        <v>5</v>
      </c>
      <c r="F67" s="15">
        <f>HLOOKUP(IF(OR("GSM"=Network,"WCDMA"=Network),"UMTS",IF(OR("VoLTE"=Network,"VoNR"=Network,"VoWiFi"=Network),"VoIMS",Network))&amp;" "&amp;VCBW,$AG$3:$AS$75,ROW(E67)-ROW($AG$3)+1,FALSE)</f>
        <v>17</v>
      </c>
      <c r="G67" s="15" t="s">
        <v>70</v>
      </c>
      <c r="H67" s="15">
        <v>1</v>
      </c>
      <c r="I67" s="168"/>
      <c r="J67" s="168"/>
      <c r="K67" s="169"/>
      <c r="M67" s="143" t="s">
        <v>593</v>
      </c>
      <c r="N67" s="144" t="s">
        <v>592</v>
      </c>
      <c r="O67" s="144" t="s">
        <v>592</v>
      </c>
      <c r="P67" s="144"/>
      <c r="Q67" s="144"/>
      <c r="R67" s="145"/>
      <c r="T67" s="72">
        <v>5</v>
      </c>
      <c r="U67" s="129">
        <v>5</v>
      </c>
      <c r="V67" s="129">
        <v>5</v>
      </c>
      <c r="W67" s="129">
        <v>5</v>
      </c>
      <c r="X67" s="129">
        <v>5</v>
      </c>
      <c r="Y67" s="129">
        <v>5</v>
      </c>
      <c r="Z67" s="129">
        <v>5</v>
      </c>
      <c r="AA67" s="129">
        <v>5</v>
      </c>
      <c r="AB67" s="129">
        <v>5</v>
      </c>
      <c r="AC67" s="129">
        <v>5</v>
      </c>
      <c r="AD67" s="129">
        <v>5</v>
      </c>
      <c r="AE67" s="129">
        <v>5</v>
      </c>
      <c r="AF67" s="129">
        <v>5</v>
      </c>
      <c r="AG67" s="129">
        <v>17</v>
      </c>
      <c r="AH67" s="129">
        <v>17</v>
      </c>
      <c r="AI67" s="129">
        <v>17</v>
      </c>
      <c r="AJ67" s="129">
        <v>17</v>
      </c>
      <c r="AK67" s="129">
        <v>17</v>
      </c>
      <c r="AL67" s="129">
        <v>17</v>
      </c>
      <c r="AM67" s="129">
        <v>17</v>
      </c>
      <c r="AN67" s="129">
        <v>17</v>
      </c>
      <c r="AO67" s="129">
        <v>17</v>
      </c>
      <c r="AP67" s="129">
        <v>17</v>
      </c>
      <c r="AQ67" s="129">
        <v>17</v>
      </c>
      <c r="AR67" s="129">
        <v>17</v>
      </c>
      <c r="AS67" s="33">
        <v>17</v>
      </c>
    </row>
    <row r="68" spans="1:45" x14ac:dyDescent="0.2">
      <c r="A68" s="232"/>
      <c r="B68" s="247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 ""," / "&amp;HLOOKUP(SUBSTITUTE(SUBSTITUTE(SUBSTITUTE(SUBSTITUTE(SUBSTITUTE(VCBW,"AMR_",""),"EVS_",""),"SO3_",""),"SO68_",""),"SO73_",""),$P$3:$R$75,ROW(B68)-ROW($P$3)+1,FALSE))</f>
        <v>BigRules</v>
      </c>
      <c r="C68" s="231"/>
      <c r="D68" s="17" t="s">
        <v>56</v>
      </c>
      <c r="E68" s="15">
        <f>HLOOKUP(IF(OR("GSM"=Network,"WCDMA"=Network),"UMTS",IF(OR("VoLTE"=Network,"VoNR"=Network,"VoWiFi"=Network),"VoIMS",Network))&amp;" "&amp;VCBW,$T$3:$AF$75,ROW(E68)-ROW($T$3)+1,FALSE)</f>
        <v>5</v>
      </c>
      <c r="F68" s="15">
        <f>HLOOKUP(IF(OR("GSM"=Network,"WCDMA"=Network),"UMTS",IF(OR("VoLTE"=Network,"VoNR"=Network,"VoWiFi"=Network),"VoIMS",Network))&amp;" "&amp;VCBW,$AG$3:$AS$75,ROW(E68)-ROW($AG$3)+1,FALSE)</f>
        <v>17</v>
      </c>
      <c r="G68" s="15" t="s">
        <v>54</v>
      </c>
      <c r="H68" s="15">
        <v>1</v>
      </c>
      <c r="I68" s="168"/>
      <c r="J68" s="168"/>
      <c r="K68" s="169"/>
      <c r="M68" s="143" t="s">
        <v>592</v>
      </c>
      <c r="N68" s="144" t="s">
        <v>592</v>
      </c>
      <c r="O68" s="144" t="s">
        <v>592</v>
      </c>
      <c r="P68" s="144"/>
      <c r="Q68" s="144"/>
      <c r="R68" s="145"/>
      <c r="T68" s="72">
        <v>5</v>
      </c>
      <c r="U68" s="129">
        <v>5</v>
      </c>
      <c r="V68" s="129">
        <v>5</v>
      </c>
      <c r="W68" s="129">
        <v>5</v>
      </c>
      <c r="X68" s="129">
        <v>5</v>
      </c>
      <c r="Y68" s="129">
        <v>5</v>
      </c>
      <c r="Z68" s="129">
        <v>5</v>
      </c>
      <c r="AA68" s="129">
        <v>5</v>
      </c>
      <c r="AB68" s="129">
        <v>5</v>
      </c>
      <c r="AC68" s="129">
        <v>5</v>
      </c>
      <c r="AD68" s="129">
        <v>5</v>
      </c>
      <c r="AE68" s="129">
        <v>5</v>
      </c>
      <c r="AF68" s="129">
        <v>5</v>
      </c>
      <c r="AG68" s="129">
        <v>17</v>
      </c>
      <c r="AH68" s="129">
        <v>17</v>
      </c>
      <c r="AI68" s="129">
        <v>17</v>
      </c>
      <c r="AJ68" s="129">
        <v>17</v>
      </c>
      <c r="AK68" s="129">
        <v>17</v>
      </c>
      <c r="AL68" s="129">
        <v>17</v>
      </c>
      <c r="AM68" s="129">
        <v>17</v>
      </c>
      <c r="AN68" s="129">
        <v>17</v>
      </c>
      <c r="AO68" s="129">
        <v>17</v>
      </c>
      <c r="AP68" s="129">
        <v>17</v>
      </c>
      <c r="AQ68" s="129">
        <v>17</v>
      </c>
      <c r="AR68" s="129">
        <v>17</v>
      </c>
      <c r="AS68" s="33">
        <v>17</v>
      </c>
    </row>
    <row r="69" spans="1:45" x14ac:dyDescent="0.2">
      <c r="A69" s="232"/>
      <c r="B69" s="247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 ""," / "&amp;HLOOKUP(SUBSTITUTE(SUBSTITUTE(SUBSTITUTE(SUBSTITUTE(SUBSTITUTE(VCBW,"AMR_",""),"EVS_",""),"SO3_",""),"SO68_",""),"SO73_",""),$P$3:$R$75,ROW(B69)-ROW($P$3)+1,FALSE))</f>
        <v>BigRules</v>
      </c>
      <c r="C69" s="231"/>
      <c r="D69" s="15" t="s">
        <v>57</v>
      </c>
      <c r="E69" s="15">
        <f>HLOOKUP(IF(OR("GSM"=Network,"WCDMA"=Network),"UMTS",IF(OR("VoLTE"=Network,"VoNR"=Network,"VoWiFi"=Network),"VoIMS",Network))&amp;" "&amp;VCBW,$T$3:$AF$75,ROW(E69)-ROW($T$3)+1,FALSE)</f>
        <v>5</v>
      </c>
      <c r="F69" s="15">
        <f>HLOOKUP(IF(OR("GSM"=Network,"WCDMA"=Network),"UMTS",IF(OR("VoLTE"=Network,"VoNR"=Network,"VoWiFi"=Network),"VoIMS",Network))&amp;" "&amp;VCBW,$AG$3:$AS$75,ROW(E69)-ROW($AG$3)+1,FALSE)</f>
        <v>17</v>
      </c>
      <c r="G69" s="15" t="s">
        <v>54</v>
      </c>
      <c r="H69" s="15">
        <v>1</v>
      </c>
      <c r="I69" s="168"/>
      <c r="J69" s="168"/>
      <c r="K69" s="169"/>
      <c r="M69" s="143" t="s">
        <v>592</v>
      </c>
      <c r="N69" s="144" t="s">
        <v>592</v>
      </c>
      <c r="O69" s="144" t="s">
        <v>592</v>
      </c>
      <c r="P69" s="144"/>
      <c r="Q69" s="144"/>
      <c r="R69" s="145"/>
      <c r="T69" s="72">
        <v>5</v>
      </c>
      <c r="U69" s="129">
        <v>5</v>
      </c>
      <c r="V69" s="129">
        <v>5</v>
      </c>
      <c r="W69" s="129">
        <v>5</v>
      </c>
      <c r="X69" s="129">
        <v>5</v>
      </c>
      <c r="Y69" s="129">
        <v>5</v>
      </c>
      <c r="Z69" s="129">
        <v>5</v>
      </c>
      <c r="AA69" s="129">
        <v>5</v>
      </c>
      <c r="AB69" s="129">
        <v>5</v>
      </c>
      <c r="AC69" s="129">
        <v>5</v>
      </c>
      <c r="AD69" s="129">
        <v>5</v>
      </c>
      <c r="AE69" s="129">
        <v>5</v>
      </c>
      <c r="AF69" s="129">
        <v>5</v>
      </c>
      <c r="AG69" s="129">
        <v>17</v>
      </c>
      <c r="AH69" s="129">
        <v>17</v>
      </c>
      <c r="AI69" s="129">
        <v>17</v>
      </c>
      <c r="AJ69" s="129">
        <v>17</v>
      </c>
      <c r="AK69" s="129">
        <v>17</v>
      </c>
      <c r="AL69" s="129">
        <v>17</v>
      </c>
      <c r="AM69" s="129">
        <v>17</v>
      </c>
      <c r="AN69" s="129">
        <v>17</v>
      </c>
      <c r="AO69" s="129">
        <v>17</v>
      </c>
      <c r="AP69" s="129">
        <v>17</v>
      </c>
      <c r="AQ69" s="129">
        <v>17</v>
      </c>
      <c r="AR69" s="129">
        <v>17</v>
      </c>
      <c r="AS69" s="33">
        <v>17</v>
      </c>
    </row>
    <row r="70" spans="1:45" ht="15" thickBot="1" x14ac:dyDescent="0.25">
      <c r="A70" s="245"/>
      <c r="B70" s="248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 ""," / "&amp;HLOOKUP(SUBSTITUTE(SUBSTITUTE(SUBSTITUTE(SUBSTITUTE(SUBSTITUTE(VCBW,"AMR_",""),"EVS_",""),"SO3_",""),"SO68_",""),"SO73_",""),$P$3:$R$75,ROW(B70)-ROW($P$3)+1,FALSE))</f>
        <v>BigRules</v>
      </c>
      <c r="C70" s="246"/>
      <c r="D70" s="22" t="s">
        <v>58</v>
      </c>
      <c r="E70" s="22">
        <f>HLOOKUP(IF(OR("GSM"=Network,"WCDMA"=Network),"UMTS",IF(OR("VoLTE"=Network,"VoNR"=Network,"VoWiFi"=Network),"VoIMS",Network))&amp;" "&amp;VCBW,$T$3:$AF$75,ROW(E70)-ROW($T$3)+1,FALSE)</f>
        <v>5</v>
      </c>
      <c r="F70" s="22">
        <f>HLOOKUP(IF(OR("GSM"=Network,"WCDMA"=Network),"UMTS",IF(OR("VoLTE"=Network,"VoNR"=Network,"VoWiFi"=Network),"VoIMS",Network))&amp;" "&amp;VCBW,$AG$3:$AS$75,ROW(E70)-ROW($AG$3)+1,FALSE)</f>
        <v>17</v>
      </c>
      <c r="G70" s="22" t="s">
        <v>54</v>
      </c>
      <c r="H70" s="22">
        <v>1</v>
      </c>
      <c r="I70" s="170"/>
      <c r="J70" s="170"/>
      <c r="K70" s="171"/>
      <c r="M70" s="146" t="s">
        <v>592</v>
      </c>
      <c r="N70" s="147" t="s">
        <v>592</v>
      </c>
      <c r="O70" s="147" t="s">
        <v>592</v>
      </c>
      <c r="P70" s="147"/>
      <c r="Q70" s="147"/>
      <c r="R70" s="148"/>
      <c r="T70" s="66">
        <v>5</v>
      </c>
      <c r="U70" s="130">
        <v>5</v>
      </c>
      <c r="V70" s="130">
        <v>5</v>
      </c>
      <c r="W70" s="130">
        <v>5</v>
      </c>
      <c r="X70" s="130">
        <v>5</v>
      </c>
      <c r="Y70" s="130">
        <v>5</v>
      </c>
      <c r="Z70" s="130">
        <v>5</v>
      </c>
      <c r="AA70" s="130">
        <v>5</v>
      </c>
      <c r="AB70" s="130">
        <v>5</v>
      </c>
      <c r="AC70" s="130">
        <v>5</v>
      </c>
      <c r="AD70" s="130">
        <v>5</v>
      </c>
      <c r="AE70" s="130">
        <v>5</v>
      </c>
      <c r="AF70" s="130">
        <v>5</v>
      </c>
      <c r="AG70" s="130">
        <v>17</v>
      </c>
      <c r="AH70" s="130">
        <v>17</v>
      </c>
      <c r="AI70" s="130">
        <v>17</v>
      </c>
      <c r="AJ70" s="130">
        <v>17</v>
      </c>
      <c r="AK70" s="130">
        <v>17</v>
      </c>
      <c r="AL70" s="130">
        <v>17</v>
      </c>
      <c r="AM70" s="130">
        <v>17</v>
      </c>
      <c r="AN70" s="130">
        <v>17</v>
      </c>
      <c r="AO70" s="130">
        <v>17</v>
      </c>
      <c r="AP70" s="130">
        <v>17</v>
      </c>
      <c r="AQ70" s="130">
        <v>17</v>
      </c>
      <c r="AR70" s="130">
        <v>17</v>
      </c>
      <c r="AS70" s="34">
        <v>17</v>
      </c>
    </row>
    <row r="71" spans="1:45" s="2" customFormat="1" ht="15" thickBot="1" x14ac:dyDescent="0.25">
      <c r="A71" s="249" t="s">
        <v>110</v>
      </c>
      <c r="B71" s="250"/>
      <c r="C71" s="250"/>
      <c r="D71" s="250"/>
      <c r="E71" s="250"/>
      <c r="F71" s="250"/>
      <c r="G71" s="250"/>
      <c r="H71" s="250"/>
      <c r="I71" s="250"/>
      <c r="J71" s="250"/>
      <c r="K71" s="251"/>
      <c r="M71" s="133" t="s">
        <v>374</v>
      </c>
      <c r="N71" s="134" t="s">
        <v>108</v>
      </c>
      <c r="O71" s="134" t="s">
        <v>140</v>
      </c>
      <c r="P71" s="134" t="s">
        <v>374</v>
      </c>
      <c r="Q71" s="134" t="s">
        <v>108</v>
      </c>
      <c r="R71" s="135" t="s">
        <v>140</v>
      </c>
      <c r="T71" s="133" t="s">
        <v>41</v>
      </c>
      <c r="U71" s="134" t="s">
        <v>43</v>
      </c>
      <c r="V71" s="134" t="s">
        <v>41</v>
      </c>
      <c r="W71" s="134" t="s">
        <v>43</v>
      </c>
      <c r="X71" s="134" t="s">
        <v>42</v>
      </c>
      <c r="Y71" s="134" t="s">
        <v>45</v>
      </c>
      <c r="Z71" s="134" t="s">
        <v>53</v>
      </c>
      <c r="AA71" s="127" t="s">
        <v>142</v>
      </c>
      <c r="AB71" s="127" t="s">
        <v>141</v>
      </c>
      <c r="AC71" s="127" t="s">
        <v>139</v>
      </c>
      <c r="AD71" s="127" t="s">
        <v>44</v>
      </c>
      <c r="AE71" s="134" t="s">
        <v>108</v>
      </c>
      <c r="AF71" s="134" t="s">
        <v>140</v>
      </c>
      <c r="AG71" s="134" t="s">
        <v>41</v>
      </c>
      <c r="AH71" s="134" t="s">
        <v>43</v>
      </c>
      <c r="AI71" s="134" t="s">
        <v>41</v>
      </c>
      <c r="AJ71" s="134" t="s">
        <v>43</v>
      </c>
      <c r="AK71" s="134" t="s">
        <v>42</v>
      </c>
      <c r="AL71" s="134" t="s">
        <v>45</v>
      </c>
      <c r="AM71" s="134" t="s">
        <v>53</v>
      </c>
      <c r="AN71" s="127" t="s">
        <v>142</v>
      </c>
      <c r="AO71" s="127" t="s">
        <v>141</v>
      </c>
      <c r="AP71" s="127" t="s">
        <v>139</v>
      </c>
      <c r="AQ71" s="127" t="s">
        <v>44</v>
      </c>
      <c r="AR71" s="134" t="s">
        <v>108</v>
      </c>
      <c r="AS71" s="135" t="s">
        <v>140</v>
      </c>
    </row>
    <row r="72" spans="1:45" ht="15" thickTop="1" x14ac:dyDescent="0.2">
      <c r="A72" s="239" t="s">
        <v>227</v>
      </c>
      <c r="B72" s="242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 ""," / "&amp;HLOOKUP(SUBSTITUTE(SUBSTITUTE(SUBSTITUTE(SUBSTITUTE(SUBSTITUTE(VCBW,"AMR_",""),"EVS_",""),"SO3_",""),"SO68_",""),"SO73_",""),$P$3:$R$75,ROW(B72)-ROW($P$3)+1,FALSE))</f>
        <v>P.863</v>
      </c>
      <c r="C72" s="29" t="s">
        <v>11</v>
      </c>
      <c r="D72" s="29"/>
      <c r="E72" s="29">
        <f>HLOOKUP(IF(OR("GSM"=Network,"WCDMA"=Network),"UMTS",IF(OR("VoLTE"=Network,"VoNR"=Network,"VoWiFi"=Network),"VoIMS",Network))&amp;" "&amp;VCBW,$T$3:$AF$75,ROW(E72)-ROW($T$3)+1,FALSE)</f>
        <v>3.2</v>
      </c>
      <c r="F72" s="29">
        <f>HLOOKUP(IF(OR("GSM"=Network,"WCDMA"=Network),"UMTS",IF(OR("VoLTE"=Network,"VoNR"=Network,"VoWiFi"=Network),"VoIMS",Network))&amp;" "&amp;VCBW,$AG$3:$AS$75,ROW(E72)-ROW($AG$3)+1,FALSE)</f>
        <v>3.8</v>
      </c>
      <c r="G72" s="21" t="s">
        <v>21</v>
      </c>
      <c r="H72" s="29">
        <v>1</v>
      </c>
      <c r="I72" s="172"/>
      <c r="J72" s="172"/>
      <c r="K72" s="173"/>
      <c r="M72" s="143" t="s">
        <v>553</v>
      </c>
      <c r="N72" s="144" t="s">
        <v>553</v>
      </c>
      <c r="O72" s="144" t="s">
        <v>553</v>
      </c>
      <c r="P72" s="144"/>
      <c r="Q72" s="144"/>
      <c r="R72" s="145"/>
      <c r="T72" s="72">
        <v>3.2</v>
      </c>
      <c r="U72" s="129">
        <v>3.9</v>
      </c>
      <c r="V72" s="129">
        <v>3.2</v>
      </c>
      <c r="W72" s="129">
        <v>3.9</v>
      </c>
      <c r="X72" s="129">
        <v>3.2</v>
      </c>
      <c r="Y72" s="129">
        <v>3.9</v>
      </c>
      <c r="Z72" s="129">
        <v>3.9</v>
      </c>
      <c r="AA72" s="129">
        <v>3.2</v>
      </c>
      <c r="AB72" s="129">
        <v>3.2</v>
      </c>
      <c r="AC72" s="129">
        <v>3.2</v>
      </c>
      <c r="AD72" s="129">
        <v>3.9</v>
      </c>
      <c r="AE72" s="129">
        <v>3.9</v>
      </c>
      <c r="AF72" s="129">
        <v>3.9</v>
      </c>
      <c r="AG72" s="129">
        <v>3.8</v>
      </c>
      <c r="AH72" s="129">
        <v>4.5</v>
      </c>
      <c r="AI72" s="129">
        <v>3.8</v>
      </c>
      <c r="AJ72" s="129">
        <v>4.5</v>
      </c>
      <c r="AK72" s="129">
        <v>3.8</v>
      </c>
      <c r="AL72" s="129">
        <v>4.5</v>
      </c>
      <c r="AM72" s="129">
        <v>4.8</v>
      </c>
      <c r="AN72" s="129">
        <v>3.8</v>
      </c>
      <c r="AO72" s="129">
        <v>3.8</v>
      </c>
      <c r="AP72" s="129">
        <v>3.8</v>
      </c>
      <c r="AQ72" s="129">
        <v>4.5</v>
      </c>
      <c r="AR72" s="129">
        <v>4.5</v>
      </c>
      <c r="AS72" s="33">
        <v>4.8</v>
      </c>
    </row>
    <row r="73" spans="1:45" x14ac:dyDescent="0.2">
      <c r="A73" s="240"/>
      <c r="B73" s="243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 ""," / "&amp;HLOOKUP(SUBSTITUTE(SUBSTITUTE(SUBSTITUTE(SUBSTITUTE(SUBSTITUTE(VCBW,"AMR_",""),"EVS_",""),"SO3_",""),"SO68_",""),"SO73_",""),$P$3:$R$75,ROW(B73)-ROW($P$3)+1,FALSE))</f>
        <v>P.863</v>
      </c>
      <c r="C73" s="243" t="s">
        <v>145</v>
      </c>
      <c r="D73" s="25" t="s">
        <v>146</v>
      </c>
      <c r="E73" s="25">
        <f>HLOOKUP(IF(OR("GSM"=Network,"WCDMA"=Network),"UMTS",IF(OR("VoLTE"=Network,"VoNR"=Network,"VoWiFi"=Network),"VoIMS",Network))&amp;" "&amp;VCBW,$T$3:$AF$75,ROW(E73)-ROW($T$3)+1,FALSE)</f>
        <v>3.2</v>
      </c>
      <c r="F73" s="25">
        <f>HLOOKUP(IF(OR("GSM"=Network,"WCDMA"=Network),"UMTS",IF(OR("VoLTE"=Network,"VoNR"=Network,"VoWiFi"=Network),"VoIMS",Network))&amp;" "&amp;VCBW,$AG$3:$AS$75,ROW(E73)-ROW($AG$3)+1,FALSE)</f>
        <v>3.8</v>
      </c>
      <c r="G73" s="15" t="s">
        <v>21</v>
      </c>
      <c r="H73" s="25">
        <v>1</v>
      </c>
      <c r="I73" s="174"/>
      <c r="J73" s="174"/>
      <c r="K73" s="175"/>
      <c r="M73" s="143" t="s">
        <v>553</v>
      </c>
      <c r="N73" s="144" t="s">
        <v>553</v>
      </c>
      <c r="O73" s="144" t="s">
        <v>553</v>
      </c>
      <c r="P73" s="144"/>
      <c r="Q73" s="144"/>
      <c r="R73" s="145"/>
      <c r="T73" s="72">
        <v>3.2</v>
      </c>
      <c r="U73" s="129">
        <v>3.7</v>
      </c>
      <c r="V73" s="129">
        <v>3.2</v>
      </c>
      <c r="W73" s="129">
        <v>3.7</v>
      </c>
      <c r="X73" s="129">
        <v>3.2</v>
      </c>
      <c r="Y73" s="129">
        <v>3.7</v>
      </c>
      <c r="Z73" s="129">
        <v>3.7</v>
      </c>
      <c r="AA73" s="129">
        <v>3.2</v>
      </c>
      <c r="AB73" s="129">
        <v>3.2</v>
      </c>
      <c r="AC73" s="129">
        <v>3.2</v>
      </c>
      <c r="AD73" s="129">
        <v>3.7</v>
      </c>
      <c r="AE73" s="129">
        <v>3.7</v>
      </c>
      <c r="AF73" s="129">
        <v>3.7</v>
      </c>
      <c r="AG73" s="129">
        <v>3.8</v>
      </c>
      <c r="AH73" s="129">
        <v>4.5</v>
      </c>
      <c r="AI73" s="129">
        <v>3.8</v>
      </c>
      <c r="AJ73" s="129">
        <v>4.5</v>
      </c>
      <c r="AK73" s="129">
        <v>3.8</v>
      </c>
      <c r="AL73" s="129">
        <v>4.5</v>
      </c>
      <c r="AM73" s="129">
        <v>4.8</v>
      </c>
      <c r="AN73" s="129">
        <v>3.8</v>
      </c>
      <c r="AO73" s="129">
        <v>3.8</v>
      </c>
      <c r="AP73" s="129">
        <v>3.8</v>
      </c>
      <c r="AQ73" s="129">
        <v>4.5</v>
      </c>
      <c r="AR73" s="129">
        <v>4.5</v>
      </c>
      <c r="AS73" s="33">
        <v>4.8</v>
      </c>
    </row>
    <row r="74" spans="1:45" x14ac:dyDescent="0.2">
      <c r="A74" s="240"/>
      <c r="B74" s="243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 ""," / "&amp;HLOOKUP(SUBSTITUTE(SUBSTITUTE(SUBSTITUTE(SUBSTITUTE(SUBSTITUTE(VCBW,"AMR_",""),"EVS_",""),"SO3_",""),"SO68_",""),"SO73_",""),$P$3:$R$75,ROW(B74)-ROW($P$3)+1,FALSE))</f>
        <v>P.863</v>
      </c>
      <c r="C74" s="243"/>
      <c r="D74" s="25" t="s">
        <v>147</v>
      </c>
      <c r="E74" s="25">
        <f>HLOOKUP(IF(OR("GSM"=Network,"WCDMA"=Network),"UMTS",IF(OR("VoLTE"=Network,"VoNR"=Network,"VoWiFi"=Network),"VoIMS",Network))&amp;" "&amp;VCBW,$T$3:$AF$75,ROW(E74)-ROW($T$3)+1,FALSE)</f>
        <v>3.2</v>
      </c>
      <c r="F74" s="25">
        <f>HLOOKUP(IF(OR("GSM"=Network,"WCDMA"=Network),"UMTS",IF(OR("VoLTE"=Network,"VoNR"=Network,"VoWiFi"=Network),"VoIMS",Network))&amp;" "&amp;VCBW,$AG$3:$AS$75,ROW(E74)-ROW($AG$3)+1,FALSE)</f>
        <v>3.8</v>
      </c>
      <c r="G74" s="15" t="s">
        <v>21</v>
      </c>
      <c r="H74" s="25">
        <v>1</v>
      </c>
      <c r="I74" s="174"/>
      <c r="J74" s="174"/>
      <c r="K74" s="175"/>
      <c r="M74" s="143" t="s">
        <v>553</v>
      </c>
      <c r="N74" s="144" t="s">
        <v>553</v>
      </c>
      <c r="O74" s="144" t="s">
        <v>553</v>
      </c>
      <c r="P74" s="144"/>
      <c r="Q74" s="144"/>
      <c r="R74" s="145"/>
      <c r="T74" s="72">
        <v>3.2</v>
      </c>
      <c r="U74" s="129">
        <v>3.7</v>
      </c>
      <c r="V74" s="129">
        <v>3.2</v>
      </c>
      <c r="W74" s="129">
        <v>3.7</v>
      </c>
      <c r="X74" s="129">
        <v>3.2</v>
      </c>
      <c r="Y74" s="129">
        <v>3.7</v>
      </c>
      <c r="Z74" s="129">
        <v>3.7</v>
      </c>
      <c r="AA74" s="129">
        <v>3.2</v>
      </c>
      <c r="AB74" s="129">
        <v>3.2</v>
      </c>
      <c r="AC74" s="129">
        <v>3.2</v>
      </c>
      <c r="AD74" s="129">
        <v>3.7</v>
      </c>
      <c r="AE74" s="129">
        <v>3.7</v>
      </c>
      <c r="AF74" s="129">
        <v>3.7</v>
      </c>
      <c r="AG74" s="129">
        <v>3.8</v>
      </c>
      <c r="AH74" s="129">
        <v>4.5</v>
      </c>
      <c r="AI74" s="129">
        <v>3.8</v>
      </c>
      <c r="AJ74" s="129">
        <v>4.5</v>
      </c>
      <c r="AK74" s="129">
        <v>3.8</v>
      </c>
      <c r="AL74" s="129">
        <v>4.5</v>
      </c>
      <c r="AM74" s="129">
        <v>4.8</v>
      </c>
      <c r="AN74" s="129">
        <v>3.8</v>
      </c>
      <c r="AO74" s="129">
        <v>3.8</v>
      </c>
      <c r="AP74" s="129">
        <v>3.8</v>
      </c>
      <c r="AQ74" s="129">
        <v>4.5</v>
      </c>
      <c r="AR74" s="129">
        <v>4.5</v>
      </c>
      <c r="AS74" s="33">
        <v>4.8</v>
      </c>
    </row>
    <row r="75" spans="1:45" ht="15" thickBot="1" x14ac:dyDescent="0.25">
      <c r="A75" s="241"/>
      <c r="B75" s="244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 ""," / "&amp;HLOOKUP(SUBSTITUTE(SUBSTITUTE(SUBSTITUTE(SUBSTITUTE(SUBSTITUTE(VCBW,"AMR_",""),"EVS_",""),"SO3_",""),"SO68_",""),"SO73_",""),$P$3:$R$75,ROW(B75)-ROW($P$3)+1,FALSE))</f>
        <v>P.863</v>
      </c>
      <c r="C75" s="244"/>
      <c r="D75" s="26" t="s">
        <v>148</v>
      </c>
      <c r="E75" s="26">
        <f>HLOOKUP(IF(OR("GSM"=Network,"WCDMA"=Network),"UMTS",IF(OR("VoLTE"=Network,"VoNR"=Network,"VoWiFi"=Network),"VoIMS",Network))&amp;" "&amp;VCBW,$T$3:$AF$75,ROW(E75)-ROW($T$3)+1,FALSE)</f>
        <v>3.2</v>
      </c>
      <c r="F75" s="26">
        <f>HLOOKUP(IF(OR("GSM"=Network,"WCDMA"=Network),"UMTS",IF(OR("VoLTE"=Network,"VoNR"=Network,"VoWiFi"=Network),"VoIMS",Network))&amp;" "&amp;VCBW,$AG$3:$AS$75,ROW(E75)-ROW($AG$3)+1,FALSE)</f>
        <v>3.8</v>
      </c>
      <c r="G75" s="22" t="s">
        <v>21</v>
      </c>
      <c r="H75" s="26">
        <v>1</v>
      </c>
      <c r="I75" s="176"/>
      <c r="J75" s="176"/>
      <c r="K75" s="177"/>
      <c r="M75" s="146" t="s">
        <v>553</v>
      </c>
      <c r="N75" s="147" t="s">
        <v>553</v>
      </c>
      <c r="O75" s="147" t="s">
        <v>553</v>
      </c>
      <c r="P75" s="147"/>
      <c r="Q75" s="147"/>
      <c r="R75" s="148"/>
      <c r="T75" s="66">
        <v>3.2</v>
      </c>
      <c r="U75" s="130">
        <v>3.7</v>
      </c>
      <c r="V75" s="130">
        <v>3.2</v>
      </c>
      <c r="W75" s="130">
        <v>3.7</v>
      </c>
      <c r="X75" s="130">
        <v>3.2</v>
      </c>
      <c r="Y75" s="130">
        <v>3.7</v>
      </c>
      <c r="Z75" s="130">
        <v>3.7</v>
      </c>
      <c r="AA75" s="130">
        <v>3.2</v>
      </c>
      <c r="AB75" s="130">
        <v>3.2</v>
      </c>
      <c r="AC75" s="130">
        <v>3.2</v>
      </c>
      <c r="AD75" s="130">
        <v>3.7</v>
      </c>
      <c r="AE75" s="130">
        <v>3.7</v>
      </c>
      <c r="AF75" s="130">
        <v>3.7</v>
      </c>
      <c r="AG75" s="130">
        <v>3.8</v>
      </c>
      <c r="AH75" s="130">
        <v>4.5</v>
      </c>
      <c r="AI75" s="130">
        <v>3.8</v>
      </c>
      <c r="AJ75" s="130">
        <v>4.5</v>
      </c>
      <c r="AK75" s="130">
        <v>3.8</v>
      </c>
      <c r="AL75" s="130">
        <v>4.5</v>
      </c>
      <c r="AM75" s="130">
        <v>4.8</v>
      </c>
      <c r="AN75" s="130">
        <v>3.8</v>
      </c>
      <c r="AO75" s="130">
        <v>3.8</v>
      </c>
      <c r="AP75" s="130">
        <v>3.8</v>
      </c>
      <c r="AQ75" s="130">
        <v>4.5</v>
      </c>
      <c r="AR75" s="130">
        <v>4.5</v>
      </c>
      <c r="AS75" s="34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" name="Data3"/>
    <protectedRange sqref="I67:K70" name="Data2"/>
    <protectedRange sqref="I6:K65" name="Data1"/>
  </protectedRanges>
  <dataConsolidate/>
  <mergeCells count="74">
    <mergeCell ref="A5:K5"/>
    <mergeCell ref="A1:H1"/>
    <mergeCell ref="A41:A46"/>
    <mergeCell ref="B41:B46"/>
    <mergeCell ref="A6:A15"/>
    <mergeCell ref="A16:A20"/>
    <mergeCell ref="C36:C37"/>
    <mergeCell ref="C38:C39"/>
    <mergeCell ref="B36:B39"/>
    <mergeCell ref="B34:B35"/>
    <mergeCell ref="A34:A39"/>
    <mergeCell ref="E3:H3"/>
    <mergeCell ref="A31:A33"/>
    <mergeCell ref="C22:C25"/>
    <mergeCell ref="C26:C28"/>
    <mergeCell ref="C16:C17"/>
    <mergeCell ref="C18:C20"/>
    <mergeCell ref="C7:C14"/>
    <mergeCell ref="B7:B14"/>
    <mergeCell ref="B18:B20"/>
    <mergeCell ref="A72:A75"/>
    <mergeCell ref="B72:B75"/>
    <mergeCell ref="A47:A65"/>
    <mergeCell ref="B47:B65"/>
    <mergeCell ref="B67:B70"/>
    <mergeCell ref="A66:K66"/>
    <mergeCell ref="C50:C57"/>
    <mergeCell ref="C58:C65"/>
    <mergeCell ref="A67:A70"/>
    <mergeCell ref="C67:C70"/>
    <mergeCell ref="C73:C75"/>
    <mergeCell ref="A71:K71"/>
    <mergeCell ref="T3:T4"/>
    <mergeCell ref="U3:U4"/>
    <mergeCell ref="V3:V4"/>
    <mergeCell ref="W3:W4"/>
    <mergeCell ref="X3:X4"/>
    <mergeCell ref="AG3:AG4"/>
    <mergeCell ref="AH3:AH4"/>
    <mergeCell ref="Y3:Y4"/>
    <mergeCell ref="Z3:Z4"/>
    <mergeCell ref="AA3:AA4"/>
    <mergeCell ref="AB3:AB4"/>
    <mergeCell ref="AC3:AC4"/>
    <mergeCell ref="AD3:AD4"/>
    <mergeCell ref="AE3:AE4"/>
    <mergeCell ref="AF3:AF4"/>
    <mergeCell ref="AS3:AS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C41:C42"/>
    <mergeCell ref="C44:C45"/>
    <mergeCell ref="R3:R4"/>
    <mergeCell ref="M3:M4"/>
    <mergeCell ref="N3:N4"/>
    <mergeCell ref="O3:O4"/>
    <mergeCell ref="P3:P4"/>
    <mergeCell ref="Q3:Q4"/>
    <mergeCell ref="A3:D3"/>
    <mergeCell ref="C31:C33"/>
    <mergeCell ref="A21:A25"/>
    <mergeCell ref="B22:B25"/>
    <mergeCell ref="B26:B28"/>
    <mergeCell ref="B31:B33"/>
    <mergeCell ref="A26:A29"/>
    <mergeCell ref="B16:B17"/>
  </mergeCells>
  <phoneticPr fontId="1" type="noConversion"/>
  <conditionalFormatting sqref="I72:K75 I6:K65 I67:K70">
    <cfRule type="cellIs" dxfId="32" priority="1" stopIfTrue="1" operator="equal">
      <formula>"×"</formula>
    </cfRule>
    <cfRule type="containsBlanks" priority="42" stopIfTrue="1">
      <formula>LEN(TRIM(I6))=0</formula>
    </cfRule>
    <cfRule type="expression" dxfId="31" priority="47" stopIfTrue="1">
      <formula>OR(AND(1=$H6,OR(AND(ISNUMBER($E6),I6&lt;$E6),AND(ISNUMBER($F6),I6&gt;$F6),"Fail"=I6)),AND(2=$H6,ISNUMBER($F6),I6&gt;$F6),AND(3=$H6,ISNUMBER($E6),I6&lt;$E6))</formula>
    </cfRule>
    <cfRule type="expression" dxfId="30" priority="48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K65 I67:K70 I72:K75">
    <cfRule type="expression" dxfId="29" priority="8" stopIfTrue="1">
      <formula>"×"=HLOOKUP(SUBSTITUTE(SUBSTITUTE(SUBSTITUTE(SUBSTITUTE(SUBSTITUTE(VCBW,"AMR_",""),"EVS_",""),"SO3_",""),"SO68_",""),"SO73_",""),$M$3:$O$75,ROW(I6)-ROW($M$3)+1,FALSE)</formula>
    </cfRule>
  </conditionalFormatting>
  <dataValidations count="2">
    <dataValidation type="list" allowBlank="1" showInputMessage="1" showErrorMessage="1" sqref="I34:K39" xr:uid="{62939BB6-3A99-4315-9171-5093BC24F2C0}">
      <formula1>"Pass,Fail"</formula1>
    </dataValidation>
    <dataValidation type="custom" allowBlank="1" showInputMessage="1" showErrorMessage="1" sqref="I72:K75 I6:K33 I40:K65 I67:K70" xr:uid="{B3585026-EED1-469E-B229-4BD2C6AB5183}">
      <formula1>OR(ISNUMBER(I6),"×"=I6)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AS57"/>
  <sheetViews>
    <sheetView zoomScale="70" zoomScaleNormal="70" workbookViewId="0">
      <pane ySplit="4" topLeftCell="A16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3" customWidth="1"/>
    <col min="8" max="8" width="6.625" style="3" customWidth="1"/>
    <col min="9" max="11" width="12.625" style="3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667</v>
      </c>
      <c r="B1" s="253"/>
      <c r="C1" s="253"/>
      <c r="D1" s="253"/>
      <c r="E1" s="253"/>
      <c r="F1" s="253"/>
      <c r="G1" s="253"/>
      <c r="H1" s="253"/>
      <c r="I1" s="14"/>
      <c r="J1" s="14"/>
      <c r="K1" s="14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38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6"/>
    </row>
    <row r="5" spans="1:45" s="2" customFormat="1" ht="15" thickBot="1" x14ac:dyDescent="0.25">
      <c r="A5" s="249" t="s">
        <v>134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56" t="s">
        <v>121</v>
      </c>
      <c r="B6" s="21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 ""," / "&amp;HLOOKUP(SUBSTITUTE(SUBSTITUTE(SUBSTITUTE(SUBSTITUTE(SUBSTITUTE(VCBW,"AMR_",""),"EVS_",""),"SO3_",""),"SO68_",""),"SO73_",""),$P$3:$R$57,ROW(B6)-ROW($P$3)+1,FALSE))</f>
        <v>5.2.4 / 7.2.4.1</v>
      </c>
      <c r="C6" s="21" t="s">
        <v>7</v>
      </c>
      <c r="D6" s="21"/>
      <c r="E6" s="21">
        <f t="shared" ref="E6:E52" si="1">HLOOKUP(IF(OR("GSM"=Network,"WCDMA"=Network),"UMTS",IF(OR("VoLTE"=Network,"VoNR"=Network,"VoWiFi"=Network),"VoIMS",Network))&amp;" "&amp;VCBW,$T$3:$AF$57,ROW(E6)-ROW($T$3)+1,FALSE)</f>
        <v>9</v>
      </c>
      <c r="F6" s="21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18" t="s">
        <v>54</v>
      </c>
      <c r="H6" s="18">
        <v>1</v>
      </c>
      <c r="I6" s="166"/>
      <c r="J6" s="166"/>
      <c r="K6" s="167"/>
      <c r="M6" s="143" t="s">
        <v>595</v>
      </c>
      <c r="N6" s="144" t="s">
        <v>605</v>
      </c>
      <c r="O6" s="144" t="s">
        <v>615</v>
      </c>
      <c r="P6" s="144" t="s">
        <v>621</v>
      </c>
      <c r="Q6" s="144" t="s">
        <v>625</v>
      </c>
      <c r="R6" s="145" t="s">
        <v>631</v>
      </c>
      <c r="T6" s="72">
        <v>9</v>
      </c>
      <c r="U6" s="82">
        <v>9</v>
      </c>
      <c r="V6" s="82">
        <v>9</v>
      </c>
      <c r="W6" s="82">
        <v>9</v>
      </c>
      <c r="X6" s="82">
        <v>9</v>
      </c>
      <c r="Y6" s="82">
        <v>9</v>
      </c>
      <c r="Z6" s="82">
        <v>9</v>
      </c>
      <c r="AA6" s="82">
        <v>9</v>
      </c>
      <c r="AB6" s="82">
        <v>9</v>
      </c>
      <c r="AC6" s="82">
        <v>9</v>
      </c>
      <c r="AD6" s="82">
        <v>9</v>
      </c>
      <c r="AE6" s="82">
        <v>9</v>
      </c>
      <c r="AF6" s="82">
        <v>9</v>
      </c>
      <c r="AG6" s="82">
        <v>17</v>
      </c>
      <c r="AH6" s="82">
        <v>17</v>
      </c>
      <c r="AI6" s="82">
        <v>17</v>
      </c>
      <c r="AJ6" s="82">
        <v>17</v>
      </c>
      <c r="AK6" s="82">
        <v>17</v>
      </c>
      <c r="AL6" s="82">
        <v>17</v>
      </c>
      <c r="AM6" s="82">
        <v>17</v>
      </c>
      <c r="AN6" s="82">
        <v>17</v>
      </c>
      <c r="AO6" s="82">
        <v>17</v>
      </c>
      <c r="AP6" s="82">
        <v>17</v>
      </c>
      <c r="AQ6" s="82">
        <v>17</v>
      </c>
      <c r="AR6" s="82">
        <v>17</v>
      </c>
      <c r="AS6" s="33">
        <v>17</v>
      </c>
    </row>
    <row r="7" spans="1:45" x14ac:dyDescent="0.2">
      <c r="A7" s="232"/>
      <c r="B7" s="231" t="str">
        <f t="shared" si="0"/>
        <v>5.2.4 / 7.2.4.2</v>
      </c>
      <c r="C7" s="231" t="s">
        <v>8</v>
      </c>
      <c r="D7" s="15" t="s">
        <v>74</v>
      </c>
      <c r="E7" s="15" t="str">
        <f t="shared" si="1"/>
        <v>N/A</v>
      </c>
      <c r="F7" s="15">
        <f t="shared" si="2"/>
        <v>9</v>
      </c>
      <c r="G7" s="16" t="s">
        <v>54</v>
      </c>
      <c r="H7" s="16">
        <v>1</v>
      </c>
      <c r="I7" s="168"/>
      <c r="J7" s="168"/>
      <c r="K7" s="169"/>
      <c r="M7" s="143" t="s">
        <v>594</v>
      </c>
      <c r="N7" s="144" t="s">
        <v>557</v>
      </c>
      <c r="O7" s="144" t="s">
        <v>564</v>
      </c>
      <c r="P7" s="144" t="s">
        <v>623</v>
      </c>
      <c r="Q7" s="144" t="s">
        <v>626</v>
      </c>
      <c r="R7" s="145" t="s">
        <v>632</v>
      </c>
      <c r="T7" s="72" t="s">
        <v>312</v>
      </c>
      <c r="U7" s="82" t="s">
        <v>143</v>
      </c>
      <c r="V7" s="82" t="s">
        <v>143</v>
      </c>
      <c r="W7" s="82" t="s">
        <v>143</v>
      </c>
      <c r="X7" s="82" t="s">
        <v>143</v>
      </c>
      <c r="Y7" s="82" t="s">
        <v>143</v>
      </c>
      <c r="Z7" s="82" t="s">
        <v>143</v>
      </c>
      <c r="AA7" s="82" t="s">
        <v>143</v>
      </c>
      <c r="AB7" s="82" t="s">
        <v>143</v>
      </c>
      <c r="AC7" s="82" t="s">
        <v>143</v>
      </c>
      <c r="AD7" s="82" t="s">
        <v>143</v>
      </c>
      <c r="AE7" s="82" t="s">
        <v>143</v>
      </c>
      <c r="AF7" s="82" t="s">
        <v>143</v>
      </c>
      <c r="AG7" s="82">
        <v>9</v>
      </c>
      <c r="AH7" s="82">
        <v>9</v>
      </c>
      <c r="AI7" s="82">
        <v>9</v>
      </c>
      <c r="AJ7" s="82">
        <v>9</v>
      </c>
      <c r="AK7" s="82">
        <v>9</v>
      </c>
      <c r="AL7" s="82">
        <v>9</v>
      </c>
      <c r="AM7" s="82">
        <v>9</v>
      </c>
      <c r="AN7" s="82">
        <v>9</v>
      </c>
      <c r="AO7" s="82">
        <v>9</v>
      </c>
      <c r="AP7" s="82">
        <v>9</v>
      </c>
      <c r="AQ7" s="82">
        <v>9</v>
      </c>
      <c r="AR7" s="82">
        <v>9</v>
      </c>
      <c r="AS7" s="33">
        <v>9</v>
      </c>
    </row>
    <row r="8" spans="1:45" x14ac:dyDescent="0.2">
      <c r="A8" s="232"/>
      <c r="B8" s="231" t="str">
        <f t="shared" si="0"/>
        <v>5.2.4 / 7.2.4.2</v>
      </c>
      <c r="C8" s="231"/>
      <c r="D8" s="15" t="s">
        <v>88</v>
      </c>
      <c r="E8" s="15" t="str">
        <f t="shared" si="1"/>
        <v>N/A</v>
      </c>
      <c r="F8" s="15">
        <f t="shared" si="2"/>
        <v>12</v>
      </c>
      <c r="G8" s="16" t="s">
        <v>49</v>
      </c>
      <c r="H8" s="16">
        <v>4</v>
      </c>
      <c r="I8" s="168"/>
      <c r="J8" s="168" t="s">
        <v>164</v>
      </c>
      <c r="K8" s="169" t="s">
        <v>164</v>
      </c>
      <c r="M8" s="143" t="s">
        <v>594</v>
      </c>
      <c r="N8" s="144" t="s">
        <v>557</v>
      </c>
      <c r="O8" s="144" t="s">
        <v>564</v>
      </c>
      <c r="P8" s="144" t="s">
        <v>622</v>
      </c>
      <c r="Q8" s="144" t="s">
        <v>459</v>
      </c>
      <c r="R8" s="145" t="s">
        <v>479</v>
      </c>
      <c r="T8" s="72" t="s">
        <v>143</v>
      </c>
      <c r="U8" s="82" t="s">
        <v>143</v>
      </c>
      <c r="V8" s="82" t="s">
        <v>143</v>
      </c>
      <c r="W8" s="82" t="s">
        <v>143</v>
      </c>
      <c r="X8" s="82" t="s">
        <v>143</v>
      </c>
      <c r="Y8" s="82" t="s">
        <v>143</v>
      </c>
      <c r="Z8" s="82" t="s">
        <v>143</v>
      </c>
      <c r="AA8" s="82" t="s">
        <v>143</v>
      </c>
      <c r="AB8" s="82" t="s">
        <v>143</v>
      </c>
      <c r="AC8" s="82" t="s">
        <v>143</v>
      </c>
      <c r="AD8" s="82" t="s">
        <v>143</v>
      </c>
      <c r="AE8" s="82" t="s">
        <v>143</v>
      </c>
      <c r="AF8" s="82" t="s">
        <v>143</v>
      </c>
      <c r="AG8" s="82">
        <v>12</v>
      </c>
      <c r="AH8" s="82">
        <v>12</v>
      </c>
      <c r="AI8" s="82">
        <v>12</v>
      </c>
      <c r="AJ8" s="82">
        <v>12</v>
      </c>
      <c r="AK8" s="82">
        <v>12</v>
      </c>
      <c r="AL8" s="82">
        <v>12</v>
      </c>
      <c r="AM8" s="82">
        <v>12</v>
      </c>
      <c r="AN8" s="82">
        <v>12</v>
      </c>
      <c r="AO8" s="82">
        <v>12</v>
      </c>
      <c r="AP8" s="82">
        <v>12</v>
      </c>
      <c r="AQ8" s="82">
        <v>12</v>
      </c>
      <c r="AR8" s="82">
        <v>12</v>
      </c>
      <c r="AS8" s="33">
        <v>12</v>
      </c>
    </row>
    <row r="9" spans="1:45" x14ac:dyDescent="0.2">
      <c r="A9" s="232"/>
      <c r="B9" s="231" t="str">
        <f t="shared" si="0"/>
        <v>5.2.4 / 7.2.4.2</v>
      </c>
      <c r="C9" s="231"/>
      <c r="D9" s="15" t="s">
        <v>75</v>
      </c>
      <c r="E9" s="15" t="str">
        <f t="shared" si="1"/>
        <v>N/A</v>
      </c>
      <c r="F9" s="15">
        <f t="shared" si="2"/>
        <v>15</v>
      </c>
      <c r="G9" s="16" t="s">
        <v>49</v>
      </c>
      <c r="H9" s="16">
        <v>4</v>
      </c>
      <c r="I9" s="168"/>
      <c r="J9" s="168" t="s">
        <v>164</v>
      </c>
      <c r="K9" s="169" t="s">
        <v>164</v>
      </c>
      <c r="M9" s="143" t="s">
        <v>594</v>
      </c>
      <c r="N9" s="144" t="s">
        <v>557</v>
      </c>
      <c r="O9" s="144" t="s">
        <v>564</v>
      </c>
      <c r="P9" s="144" t="s">
        <v>622</v>
      </c>
      <c r="Q9" s="144" t="s">
        <v>459</v>
      </c>
      <c r="R9" s="145" t="s">
        <v>479</v>
      </c>
      <c r="T9" s="72" t="s">
        <v>143</v>
      </c>
      <c r="U9" s="82" t="s">
        <v>143</v>
      </c>
      <c r="V9" s="82" t="s">
        <v>143</v>
      </c>
      <c r="W9" s="82" t="s">
        <v>143</v>
      </c>
      <c r="X9" s="82" t="s">
        <v>143</v>
      </c>
      <c r="Y9" s="82" t="s">
        <v>143</v>
      </c>
      <c r="Z9" s="82" t="s">
        <v>143</v>
      </c>
      <c r="AA9" s="82" t="s">
        <v>143</v>
      </c>
      <c r="AB9" s="82" t="s">
        <v>143</v>
      </c>
      <c r="AC9" s="82" t="s">
        <v>143</v>
      </c>
      <c r="AD9" s="82" t="s">
        <v>143</v>
      </c>
      <c r="AE9" s="82" t="s">
        <v>143</v>
      </c>
      <c r="AF9" s="82" t="s">
        <v>143</v>
      </c>
      <c r="AG9" s="82">
        <v>15</v>
      </c>
      <c r="AH9" s="82">
        <v>15</v>
      </c>
      <c r="AI9" s="82">
        <v>15</v>
      </c>
      <c r="AJ9" s="82">
        <v>15</v>
      </c>
      <c r="AK9" s="82">
        <v>15</v>
      </c>
      <c r="AL9" s="82">
        <v>15</v>
      </c>
      <c r="AM9" s="82">
        <v>15</v>
      </c>
      <c r="AN9" s="82">
        <v>15</v>
      </c>
      <c r="AO9" s="82">
        <v>15</v>
      </c>
      <c r="AP9" s="82">
        <v>15</v>
      </c>
      <c r="AQ9" s="82">
        <v>15</v>
      </c>
      <c r="AR9" s="82">
        <v>15</v>
      </c>
      <c r="AS9" s="33">
        <v>15</v>
      </c>
    </row>
    <row r="10" spans="1:45" x14ac:dyDescent="0.2">
      <c r="A10" s="232"/>
      <c r="B10" s="231" t="str">
        <f t="shared" si="0"/>
        <v>5.2.4 / 7.2.4.2</v>
      </c>
      <c r="C10" s="231"/>
      <c r="D10" s="15" t="s">
        <v>96</v>
      </c>
      <c r="E10" s="15">
        <f t="shared" si="1"/>
        <v>2</v>
      </c>
      <c r="F10" s="15">
        <f t="shared" si="2"/>
        <v>18</v>
      </c>
      <c r="G10" s="16" t="s">
        <v>49</v>
      </c>
      <c r="H10" s="16">
        <v>1</v>
      </c>
      <c r="I10" s="168"/>
      <c r="J10" s="168"/>
      <c r="K10" s="169"/>
      <c r="M10" s="143" t="s">
        <v>594</v>
      </c>
      <c r="N10" s="144" t="s">
        <v>557</v>
      </c>
      <c r="O10" s="144" t="s">
        <v>564</v>
      </c>
      <c r="P10" s="144" t="s">
        <v>622</v>
      </c>
      <c r="Q10" s="144" t="s">
        <v>459</v>
      </c>
      <c r="R10" s="145" t="s">
        <v>479</v>
      </c>
      <c r="T10" s="72">
        <v>2</v>
      </c>
      <c r="U10" s="82">
        <v>2</v>
      </c>
      <c r="V10" s="82">
        <v>2</v>
      </c>
      <c r="W10" s="82">
        <v>2</v>
      </c>
      <c r="X10" s="82">
        <v>2</v>
      </c>
      <c r="Y10" s="82">
        <v>2</v>
      </c>
      <c r="Z10" s="82">
        <v>2</v>
      </c>
      <c r="AA10" s="82">
        <v>2</v>
      </c>
      <c r="AB10" s="82">
        <v>2</v>
      </c>
      <c r="AC10" s="82">
        <v>2</v>
      </c>
      <c r="AD10" s="82">
        <v>2</v>
      </c>
      <c r="AE10" s="82">
        <v>2</v>
      </c>
      <c r="AF10" s="82">
        <v>2</v>
      </c>
      <c r="AG10" s="82">
        <v>18</v>
      </c>
      <c r="AH10" s="82">
        <v>18</v>
      </c>
      <c r="AI10" s="82">
        <v>18</v>
      </c>
      <c r="AJ10" s="82">
        <v>18</v>
      </c>
      <c r="AK10" s="82">
        <v>18</v>
      </c>
      <c r="AL10" s="82">
        <v>18</v>
      </c>
      <c r="AM10" s="82">
        <v>18</v>
      </c>
      <c r="AN10" s="82">
        <v>18</v>
      </c>
      <c r="AO10" s="82">
        <v>18</v>
      </c>
      <c r="AP10" s="82">
        <v>18</v>
      </c>
      <c r="AQ10" s="82">
        <v>18</v>
      </c>
      <c r="AR10" s="82">
        <v>18</v>
      </c>
      <c r="AS10" s="33">
        <v>18</v>
      </c>
    </row>
    <row r="11" spans="1:45" x14ac:dyDescent="0.2">
      <c r="A11" s="232"/>
      <c r="B11" s="231" t="str">
        <f t="shared" si="0"/>
        <v>5.2.4 / 7.2.4.2</v>
      </c>
      <c r="C11" s="231"/>
      <c r="D11" s="15" t="s">
        <v>95</v>
      </c>
      <c r="E11" s="15">
        <f t="shared" si="1"/>
        <v>12</v>
      </c>
      <c r="F11" s="15">
        <f t="shared" si="2"/>
        <v>22</v>
      </c>
      <c r="G11" s="16" t="s">
        <v>49</v>
      </c>
      <c r="H11" s="16">
        <v>4</v>
      </c>
      <c r="I11" s="168"/>
      <c r="J11" s="168" t="s">
        <v>164</v>
      </c>
      <c r="K11" s="169" t="s">
        <v>164</v>
      </c>
      <c r="M11" s="143" t="s">
        <v>594</v>
      </c>
      <c r="N11" s="144" t="s">
        <v>557</v>
      </c>
      <c r="O11" s="144" t="s">
        <v>564</v>
      </c>
      <c r="P11" s="144" t="s">
        <v>622</v>
      </c>
      <c r="Q11" s="144" t="s">
        <v>459</v>
      </c>
      <c r="R11" s="145" t="s">
        <v>479</v>
      </c>
      <c r="T11" s="72">
        <v>12</v>
      </c>
      <c r="U11" s="82">
        <v>12</v>
      </c>
      <c r="V11" s="82">
        <v>12</v>
      </c>
      <c r="W11" s="82">
        <v>12</v>
      </c>
      <c r="X11" s="82">
        <v>12</v>
      </c>
      <c r="Y11" s="82">
        <v>12</v>
      </c>
      <c r="Z11" s="82">
        <v>12</v>
      </c>
      <c r="AA11" s="82">
        <v>12</v>
      </c>
      <c r="AB11" s="82">
        <v>12</v>
      </c>
      <c r="AC11" s="82">
        <v>12</v>
      </c>
      <c r="AD11" s="82">
        <v>12</v>
      </c>
      <c r="AE11" s="82">
        <v>12</v>
      </c>
      <c r="AF11" s="82">
        <v>12</v>
      </c>
      <c r="AG11" s="82">
        <v>22</v>
      </c>
      <c r="AH11" s="82">
        <v>22</v>
      </c>
      <c r="AI11" s="82">
        <v>22</v>
      </c>
      <c r="AJ11" s="82">
        <v>22</v>
      </c>
      <c r="AK11" s="82">
        <v>22</v>
      </c>
      <c r="AL11" s="82">
        <v>22</v>
      </c>
      <c r="AM11" s="82">
        <v>22</v>
      </c>
      <c r="AN11" s="82">
        <v>22</v>
      </c>
      <c r="AO11" s="82">
        <v>22</v>
      </c>
      <c r="AP11" s="82">
        <v>22</v>
      </c>
      <c r="AQ11" s="82">
        <v>22</v>
      </c>
      <c r="AR11" s="82">
        <v>22</v>
      </c>
      <c r="AS11" s="33">
        <v>22</v>
      </c>
    </row>
    <row r="12" spans="1:45" x14ac:dyDescent="0.2">
      <c r="A12" s="232"/>
      <c r="B12" s="231" t="str">
        <f t="shared" si="0"/>
        <v>5.2.4 / 7.2.4.2</v>
      </c>
      <c r="C12" s="231"/>
      <c r="D12" s="15" t="s">
        <v>91</v>
      </c>
      <c r="E12" s="15">
        <f t="shared" si="1"/>
        <v>16</v>
      </c>
      <c r="F12" s="15">
        <f t="shared" si="2"/>
        <v>26</v>
      </c>
      <c r="G12" s="16" t="s">
        <v>49</v>
      </c>
      <c r="H12" s="16">
        <v>4</v>
      </c>
      <c r="I12" s="168"/>
      <c r="J12" s="168" t="s">
        <v>164</v>
      </c>
      <c r="K12" s="169" t="s">
        <v>164</v>
      </c>
      <c r="M12" s="143" t="s">
        <v>594</v>
      </c>
      <c r="N12" s="144" t="s">
        <v>557</v>
      </c>
      <c r="O12" s="144" t="s">
        <v>564</v>
      </c>
      <c r="P12" s="144" t="s">
        <v>622</v>
      </c>
      <c r="Q12" s="144" t="s">
        <v>459</v>
      </c>
      <c r="R12" s="145" t="s">
        <v>479</v>
      </c>
      <c r="T12" s="72">
        <v>16</v>
      </c>
      <c r="U12" s="82">
        <v>16</v>
      </c>
      <c r="V12" s="82">
        <v>16</v>
      </c>
      <c r="W12" s="82">
        <v>16</v>
      </c>
      <c r="X12" s="82">
        <v>16</v>
      </c>
      <c r="Y12" s="82">
        <v>16</v>
      </c>
      <c r="Z12" s="82">
        <v>16</v>
      </c>
      <c r="AA12" s="82">
        <v>16</v>
      </c>
      <c r="AB12" s="82">
        <v>16</v>
      </c>
      <c r="AC12" s="82">
        <v>16</v>
      </c>
      <c r="AD12" s="82">
        <v>16</v>
      </c>
      <c r="AE12" s="82">
        <v>16</v>
      </c>
      <c r="AF12" s="82">
        <v>16</v>
      </c>
      <c r="AG12" s="82">
        <v>26</v>
      </c>
      <c r="AH12" s="82">
        <v>26</v>
      </c>
      <c r="AI12" s="82">
        <v>26</v>
      </c>
      <c r="AJ12" s="82">
        <v>26</v>
      </c>
      <c r="AK12" s="82">
        <v>26</v>
      </c>
      <c r="AL12" s="82">
        <v>26</v>
      </c>
      <c r="AM12" s="82">
        <v>26</v>
      </c>
      <c r="AN12" s="82">
        <v>26</v>
      </c>
      <c r="AO12" s="82">
        <v>26</v>
      </c>
      <c r="AP12" s="82">
        <v>26</v>
      </c>
      <c r="AQ12" s="82">
        <v>26</v>
      </c>
      <c r="AR12" s="82">
        <v>26</v>
      </c>
      <c r="AS12" s="33">
        <v>26</v>
      </c>
    </row>
    <row r="13" spans="1:45" x14ac:dyDescent="0.2">
      <c r="A13" s="232"/>
      <c r="B13" s="231" t="str">
        <f t="shared" si="0"/>
        <v>5.2.4 / 7.2.4.2</v>
      </c>
      <c r="C13" s="231"/>
      <c r="D13" s="15" t="s">
        <v>92</v>
      </c>
      <c r="E13" s="15">
        <f t="shared" si="1"/>
        <v>20</v>
      </c>
      <c r="F13" s="15">
        <f t="shared" si="2"/>
        <v>30</v>
      </c>
      <c r="G13" s="16" t="s">
        <v>49</v>
      </c>
      <c r="H13" s="16">
        <v>4</v>
      </c>
      <c r="I13" s="168"/>
      <c r="J13" s="168" t="s">
        <v>164</v>
      </c>
      <c r="K13" s="169" t="s">
        <v>164</v>
      </c>
      <c r="M13" s="143" t="s">
        <v>594</v>
      </c>
      <c r="N13" s="144" t="s">
        <v>557</v>
      </c>
      <c r="O13" s="144" t="s">
        <v>564</v>
      </c>
      <c r="P13" s="144" t="s">
        <v>622</v>
      </c>
      <c r="Q13" s="144" t="s">
        <v>459</v>
      </c>
      <c r="R13" s="145" t="s">
        <v>479</v>
      </c>
      <c r="T13" s="72">
        <v>20</v>
      </c>
      <c r="U13" s="82">
        <v>20</v>
      </c>
      <c r="V13" s="82">
        <v>20</v>
      </c>
      <c r="W13" s="82">
        <v>20</v>
      </c>
      <c r="X13" s="82">
        <v>20</v>
      </c>
      <c r="Y13" s="82">
        <v>20</v>
      </c>
      <c r="Z13" s="82">
        <v>20</v>
      </c>
      <c r="AA13" s="82">
        <v>20</v>
      </c>
      <c r="AB13" s="82">
        <v>20</v>
      </c>
      <c r="AC13" s="82">
        <v>20</v>
      </c>
      <c r="AD13" s="82">
        <v>20</v>
      </c>
      <c r="AE13" s="82">
        <v>20</v>
      </c>
      <c r="AF13" s="82">
        <v>20</v>
      </c>
      <c r="AG13" s="82">
        <v>30</v>
      </c>
      <c r="AH13" s="82">
        <v>30</v>
      </c>
      <c r="AI13" s="82">
        <v>30</v>
      </c>
      <c r="AJ13" s="82">
        <v>30</v>
      </c>
      <c r="AK13" s="82">
        <v>30</v>
      </c>
      <c r="AL13" s="82">
        <v>30</v>
      </c>
      <c r="AM13" s="82">
        <v>30</v>
      </c>
      <c r="AN13" s="82">
        <v>30</v>
      </c>
      <c r="AO13" s="82">
        <v>30</v>
      </c>
      <c r="AP13" s="82">
        <v>30</v>
      </c>
      <c r="AQ13" s="82">
        <v>30</v>
      </c>
      <c r="AR13" s="82">
        <v>30</v>
      </c>
      <c r="AS13" s="33">
        <v>30</v>
      </c>
    </row>
    <row r="14" spans="1:45" x14ac:dyDescent="0.2">
      <c r="A14" s="232"/>
      <c r="B14" s="231" t="str">
        <f t="shared" si="0"/>
        <v>5.2.4 / 7.2.4.2</v>
      </c>
      <c r="C14" s="231"/>
      <c r="D14" s="15" t="s">
        <v>93</v>
      </c>
      <c r="E14" s="15">
        <f t="shared" si="1"/>
        <v>24</v>
      </c>
      <c r="F14" s="15">
        <f t="shared" si="2"/>
        <v>34</v>
      </c>
      <c r="G14" s="16" t="s">
        <v>49</v>
      </c>
      <c r="H14" s="16">
        <v>1</v>
      </c>
      <c r="I14" s="168"/>
      <c r="J14" s="168"/>
      <c r="K14" s="169"/>
      <c r="M14" s="143" t="s">
        <v>594</v>
      </c>
      <c r="N14" s="144" t="s">
        <v>557</v>
      </c>
      <c r="O14" s="144" t="s">
        <v>564</v>
      </c>
      <c r="P14" s="144" t="s">
        <v>622</v>
      </c>
      <c r="Q14" s="144" t="s">
        <v>459</v>
      </c>
      <c r="R14" s="145" t="s">
        <v>479</v>
      </c>
      <c r="T14" s="72">
        <v>24</v>
      </c>
      <c r="U14" s="82">
        <v>24</v>
      </c>
      <c r="V14" s="82">
        <v>24</v>
      </c>
      <c r="W14" s="82">
        <v>24</v>
      </c>
      <c r="X14" s="82">
        <v>24</v>
      </c>
      <c r="Y14" s="82">
        <v>24</v>
      </c>
      <c r="Z14" s="82">
        <v>24</v>
      </c>
      <c r="AA14" s="82">
        <v>24</v>
      </c>
      <c r="AB14" s="82">
        <v>24</v>
      </c>
      <c r="AC14" s="82">
        <v>24</v>
      </c>
      <c r="AD14" s="82">
        <v>24</v>
      </c>
      <c r="AE14" s="82">
        <v>24</v>
      </c>
      <c r="AF14" s="82">
        <v>24</v>
      </c>
      <c r="AG14" s="82">
        <v>34</v>
      </c>
      <c r="AH14" s="82">
        <v>34</v>
      </c>
      <c r="AI14" s="82">
        <v>34</v>
      </c>
      <c r="AJ14" s="82">
        <v>34</v>
      </c>
      <c r="AK14" s="82">
        <v>34</v>
      </c>
      <c r="AL14" s="82">
        <v>34</v>
      </c>
      <c r="AM14" s="82">
        <v>34</v>
      </c>
      <c r="AN14" s="82">
        <v>34</v>
      </c>
      <c r="AO14" s="82">
        <v>34</v>
      </c>
      <c r="AP14" s="82">
        <v>34</v>
      </c>
      <c r="AQ14" s="82">
        <v>34</v>
      </c>
      <c r="AR14" s="82">
        <v>34</v>
      </c>
      <c r="AS14" s="33">
        <v>34</v>
      </c>
    </row>
    <row r="15" spans="1:45" x14ac:dyDescent="0.2">
      <c r="A15" s="252" t="s">
        <v>12</v>
      </c>
      <c r="B15" s="16" t="str">
        <f t="shared" si="0"/>
        <v>5.4.5 / 7.4.5</v>
      </c>
      <c r="C15" s="16" t="s">
        <v>11</v>
      </c>
      <c r="D15" s="15"/>
      <c r="E15" s="15">
        <f t="shared" si="1"/>
        <v>2</v>
      </c>
      <c r="F15" s="15" t="str">
        <f t="shared" si="2"/>
        <v>N/A</v>
      </c>
      <c r="G15" s="16" t="s">
        <v>54</v>
      </c>
      <c r="H15" s="16">
        <v>1</v>
      </c>
      <c r="I15" s="168"/>
      <c r="J15" s="168"/>
      <c r="K15" s="169"/>
      <c r="M15" s="143" t="s">
        <v>596</v>
      </c>
      <c r="N15" s="144" t="s">
        <v>608</v>
      </c>
      <c r="O15" s="144" t="s">
        <v>617</v>
      </c>
      <c r="P15" s="144" t="s">
        <v>617</v>
      </c>
      <c r="Q15" s="144" t="s">
        <v>627</v>
      </c>
      <c r="R15" s="145" t="s">
        <v>633</v>
      </c>
      <c r="T15" s="72">
        <v>2</v>
      </c>
      <c r="U15" s="82">
        <v>2</v>
      </c>
      <c r="V15" s="82">
        <v>2</v>
      </c>
      <c r="W15" s="82">
        <v>2</v>
      </c>
      <c r="X15" s="82">
        <v>2</v>
      </c>
      <c r="Y15" s="82">
        <v>2</v>
      </c>
      <c r="Z15" s="82">
        <v>2</v>
      </c>
      <c r="AA15" s="82">
        <v>2</v>
      </c>
      <c r="AB15" s="82">
        <v>2</v>
      </c>
      <c r="AC15" s="82">
        <v>2</v>
      </c>
      <c r="AD15" s="82">
        <v>2</v>
      </c>
      <c r="AE15" s="82">
        <v>2</v>
      </c>
      <c r="AF15" s="82">
        <v>2</v>
      </c>
      <c r="AG15" s="82" t="s">
        <v>143</v>
      </c>
      <c r="AH15" s="82" t="s">
        <v>143</v>
      </c>
      <c r="AI15" s="82" t="s">
        <v>143</v>
      </c>
      <c r="AJ15" s="82" t="s">
        <v>143</v>
      </c>
      <c r="AK15" s="82" t="s">
        <v>143</v>
      </c>
      <c r="AL15" s="82" t="s">
        <v>143</v>
      </c>
      <c r="AM15" s="82" t="s">
        <v>143</v>
      </c>
      <c r="AN15" s="82" t="s">
        <v>143</v>
      </c>
      <c r="AO15" s="82" t="s">
        <v>143</v>
      </c>
      <c r="AP15" s="82" t="s">
        <v>143</v>
      </c>
      <c r="AQ15" s="82" t="s">
        <v>143</v>
      </c>
      <c r="AR15" s="82" t="s">
        <v>143</v>
      </c>
      <c r="AS15" s="33" t="s">
        <v>143</v>
      </c>
    </row>
    <row r="16" spans="1:45" x14ac:dyDescent="0.2">
      <c r="A16" s="252"/>
      <c r="B16" s="247" t="str">
        <f t="shared" si="0"/>
        <v>5.4.6 / 7.4.6</v>
      </c>
      <c r="C16" s="247" t="s">
        <v>10</v>
      </c>
      <c r="D16" s="15" t="s">
        <v>0</v>
      </c>
      <c r="E16" s="15">
        <f t="shared" si="1"/>
        <v>1</v>
      </c>
      <c r="F16" s="15" t="str">
        <f t="shared" si="2"/>
        <v>N/A</v>
      </c>
      <c r="G16" s="16" t="s">
        <v>54</v>
      </c>
      <c r="H16" s="16">
        <v>1</v>
      </c>
      <c r="I16" s="168"/>
      <c r="J16" s="168"/>
      <c r="K16" s="169"/>
      <c r="M16" s="143" t="s">
        <v>598</v>
      </c>
      <c r="N16" s="144" t="s">
        <v>609</v>
      </c>
      <c r="O16" s="144" t="s">
        <v>616</v>
      </c>
      <c r="P16" s="144" t="s">
        <v>616</v>
      </c>
      <c r="Q16" s="144" t="s">
        <v>628</v>
      </c>
      <c r="R16" s="145" t="s">
        <v>635</v>
      </c>
      <c r="T16" s="72">
        <v>1</v>
      </c>
      <c r="U16" s="82">
        <v>1</v>
      </c>
      <c r="V16" s="82">
        <v>1</v>
      </c>
      <c r="W16" s="82">
        <v>1</v>
      </c>
      <c r="X16" s="82">
        <v>1</v>
      </c>
      <c r="Y16" s="82">
        <v>1</v>
      </c>
      <c r="Z16" s="82">
        <v>1</v>
      </c>
      <c r="AA16" s="82">
        <v>1</v>
      </c>
      <c r="AB16" s="82">
        <v>1</v>
      </c>
      <c r="AC16" s="82">
        <v>1</v>
      </c>
      <c r="AD16" s="82">
        <v>1</v>
      </c>
      <c r="AE16" s="82">
        <v>1</v>
      </c>
      <c r="AF16" s="82">
        <v>1</v>
      </c>
      <c r="AG16" s="82" t="s">
        <v>143</v>
      </c>
      <c r="AH16" s="82" t="s">
        <v>143</v>
      </c>
      <c r="AI16" s="82" t="s">
        <v>143</v>
      </c>
      <c r="AJ16" s="82" t="s">
        <v>143</v>
      </c>
      <c r="AK16" s="82" t="s">
        <v>143</v>
      </c>
      <c r="AL16" s="82" t="s">
        <v>143</v>
      </c>
      <c r="AM16" s="82" t="s">
        <v>143</v>
      </c>
      <c r="AN16" s="82" t="s">
        <v>143</v>
      </c>
      <c r="AO16" s="82" t="s">
        <v>143</v>
      </c>
      <c r="AP16" s="82" t="s">
        <v>143</v>
      </c>
      <c r="AQ16" s="82" t="s">
        <v>143</v>
      </c>
      <c r="AR16" s="82" t="s">
        <v>143</v>
      </c>
      <c r="AS16" s="33" t="s">
        <v>143</v>
      </c>
    </row>
    <row r="17" spans="1:45" x14ac:dyDescent="0.2">
      <c r="A17" s="252"/>
      <c r="B17" s="247" t="str">
        <f t="shared" si="0"/>
        <v>5.4.6 / 7.4.6</v>
      </c>
      <c r="C17" s="247"/>
      <c r="D17" s="15" t="s">
        <v>5</v>
      </c>
      <c r="E17" s="15">
        <f t="shared" si="1"/>
        <v>1</v>
      </c>
      <c r="F17" s="15" t="str">
        <f t="shared" si="2"/>
        <v>N/A</v>
      </c>
      <c r="G17" s="16" t="s">
        <v>54</v>
      </c>
      <c r="H17" s="16">
        <v>1</v>
      </c>
      <c r="I17" s="168"/>
      <c r="J17" s="168"/>
      <c r="K17" s="169"/>
      <c r="M17" s="143" t="s">
        <v>597</v>
      </c>
      <c r="N17" s="144" t="s">
        <v>606</v>
      </c>
      <c r="O17" s="144" t="s">
        <v>538</v>
      </c>
      <c r="P17" s="144" t="s">
        <v>538</v>
      </c>
      <c r="Q17" s="144" t="s">
        <v>628</v>
      </c>
      <c r="R17" s="145" t="s">
        <v>634</v>
      </c>
      <c r="T17" s="72">
        <v>1</v>
      </c>
      <c r="U17" s="82">
        <v>1</v>
      </c>
      <c r="V17" s="82">
        <v>1</v>
      </c>
      <c r="W17" s="82">
        <v>1</v>
      </c>
      <c r="X17" s="82">
        <v>1</v>
      </c>
      <c r="Y17" s="82">
        <v>1</v>
      </c>
      <c r="Z17" s="82">
        <v>1</v>
      </c>
      <c r="AA17" s="82">
        <v>1</v>
      </c>
      <c r="AB17" s="82">
        <v>1</v>
      </c>
      <c r="AC17" s="82">
        <v>1</v>
      </c>
      <c r="AD17" s="82">
        <v>1</v>
      </c>
      <c r="AE17" s="82">
        <v>1</v>
      </c>
      <c r="AF17" s="82">
        <v>1</v>
      </c>
      <c r="AG17" s="82" t="s">
        <v>143</v>
      </c>
      <c r="AH17" s="82" t="s">
        <v>143</v>
      </c>
      <c r="AI17" s="82" t="s">
        <v>143</v>
      </c>
      <c r="AJ17" s="82" t="s">
        <v>143</v>
      </c>
      <c r="AK17" s="82" t="s">
        <v>143</v>
      </c>
      <c r="AL17" s="82" t="s">
        <v>143</v>
      </c>
      <c r="AM17" s="82" t="s">
        <v>143</v>
      </c>
      <c r="AN17" s="82" t="s">
        <v>143</v>
      </c>
      <c r="AO17" s="82" t="s">
        <v>143</v>
      </c>
      <c r="AP17" s="82" t="s">
        <v>143</v>
      </c>
      <c r="AQ17" s="82" t="s">
        <v>143</v>
      </c>
      <c r="AR17" s="82" t="s">
        <v>143</v>
      </c>
      <c r="AS17" s="33" t="s">
        <v>143</v>
      </c>
    </row>
    <row r="18" spans="1:45" x14ac:dyDescent="0.2">
      <c r="A18" s="252"/>
      <c r="B18" s="247" t="str">
        <f t="shared" si="0"/>
        <v>5.4.6 / 7.4.6</v>
      </c>
      <c r="C18" s="247"/>
      <c r="D18" s="15" t="s">
        <v>2</v>
      </c>
      <c r="E18" s="15">
        <f t="shared" si="1"/>
        <v>2</v>
      </c>
      <c r="F18" s="15" t="str">
        <f t="shared" si="2"/>
        <v>N/A</v>
      </c>
      <c r="G18" s="16" t="s">
        <v>54</v>
      </c>
      <c r="H18" s="16">
        <v>4</v>
      </c>
      <c r="I18" s="168"/>
      <c r="J18" s="168"/>
      <c r="K18" s="169"/>
      <c r="M18" s="143" t="s">
        <v>597</v>
      </c>
      <c r="N18" s="144" t="s">
        <v>606</v>
      </c>
      <c r="O18" s="144" t="s">
        <v>538</v>
      </c>
      <c r="P18" s="144" t="s">
        <v>538</v>
      </c>
      <c r="Q18" s="144" t="s">
        <v>628</v>
      </c>
      <c r="R18" s="145" t="s">
        <v>634</v>
      </c>
      <c r="T18" s="72">
        <v>2</v>
      </c>
      <c r="U18" s="82">
        <v>2</v>
      </c>
      <c r="V18" s="82">
        <v>2</v>
      </c>
      <c r="W18" s="82">
        <v>2</v>
      </c>
      <c r="X18" s="82">
        <v>2</v>
      </c>
      <c r="Y18" s="82">
        <v>2</v>
      </c>
      <c r="Z18" s="82">
        <v>2</v>
      </c>
      <c r="AA18" s="82">
        <v>2</v>
      </c>
      <c r="AB18" s="82">
        <v>2</v>
      </c>
      <c r="AC18" s="82">
        <v>2</v>
      </c>
      <c r="AD18" s="82">
        <v>2</v>
      </c>
      <c r="AE18" s="82">
        <v>2</v>
      </c>
      <c r="AF18" s="82">
        <v>2</v>
      </c>
      <c r="AG18" s="82" t="s">
        <v>143</v>
      </c>
      <c r="AH18" s="82" t="s">
        <v>143</v>
      </c>
      <c r="AI18" s="82" t="s">
        <v>143</v>
      </c>
      <c r="AJ18" s="82" t="s">
        <v>143</v>
      </c>
      <c r="AK18" s="82" t="s">
        <v>143</v>
      </c>
      <c r="AL18" s="82" t="s">
        <v>143</v>
      </c>
      <c r="AM18" s="82" t="s">
        <v>143</v>
      </c>
      <c r="AN18" s="82" t="s">
        <v>143</v>
      </c>
      <c r="AO18" s="82" t="s">
        <v>143</v>
      </c>
      <c r="AP18" s="82" t="s">
        <v>143</v>
      </c>
      <c r="AQ18" s="82" t="s">
        <v>143</v>
      </c>
      <c r="AR18" s="82" t="s">
        <v>143</v>
      </c>
      <c r="AS18" s="33" t="s">
        <v>143</v>
      </c>
    </row>
    <row r="19" spans="1:45" x14ac:dyDescent="0.2">
      <c r="A19" s="232" t="s">
        <v>15</v>
      </c>
      <c r="B19" s="231" t="str">
        <f t="shared" si="0"/>
        <v>5.7.3 / 7.7.2</v>
      </c>
      <c r="C19" s="247" t="s">
        <v>16</v>
      </c>
      <c r="D19" s="15" t="s">
        <v>0</v>
      </c>
      <c r="E19" s="15">
        <f t="shared" si="1"/>
        <v>46</v>
      </c>
      <c r="F19" s="15" t="str">
        <f t="shared" si="2"/>
        <v>N/A</v>
      </c>
      <c r="G19" s="16" t="s">
        <v>54</v>
      </c>
      <c r="H19" s="16">
        <v>1</v>
      </c>
      <c r="I19" s="168"/>
      <c r="J19" s="168"/>
      <c r="K19" s="169"/>
      <c r="M19" s="143" t="s">
        <v>600</v>
      </c>
      <c r="N19" s="144" t="s">
        <v>610</v>
      </c>
      <c r="O19" s="144" t="s">
        <v>577</v>
      </c>
      <c r="P19" s="144" t="s">
        <v>624</v>
      </c>
      <c r="Q19" s="144" t="s">
        <v>629</v>
      </c>
      <c r="R19" s="145" t="s">
        <v>636</v>
      </c>
      <c r="T19" s="72">
        <v>46</v>
      </c>
      <c r="U19" s="82">
        <v>46</v>
      </c>
      <c r="V19" s="82">
        <v>46</v>
      </c>
      <c r="W19" s="82">
        <v>46</v>
      </c>
      <c r="X19" s="82">
        <v>46</v>
      </c>
      <c r="Y19" s="82">
        <v>46</v>
      </c>
      <c r="Z19" s="82">
        <v>46</v>
      </c>
      <c r="AA19" s="82">
        <v>46</v>
      </c>
      <c r="AB19" s="82">
        <v>46</v>
      </c>
      <c r="AC19" s="82">
        <v>46</v>
      </c>
      <c r="AD19" s="82">
        <v>46</v>
      </c>
      <c r="AE19" s="82">
        <v>46</v>
      </c>
      <c r="AF19" s="82">
        <v>46</v>
      </c>
      <c r="AG19" s="82" t="s">
        <v>143</v>
      </c>
      <c r="AH19" s="82" t="s">
        <v>143</v>
      </c>
      <c r="AI19" s="82" t="s">
        <v>143</v>
      </c>
      <c r="AJ19" s="82" t="s">
        <v>143</v>
      </c>
      <c r="AK19" s="82" t="s">
        <v>143</v>
      </c>
      <c r="AL19" s="82" t="s">
        <v>143</v>
      </c>
      <c r="AM19" s="82" t="s">
        <v>143</v>
      </c>
      <c r="AN19" s="82" t="s">
        <v>143</v>
      </c>
      <c r="AO19" s="82" t="s">
        <v>143</v>
      </c>
      <c r="AP19" s="82" t="s">
        <v>143</v>
      </c>
      <c r="AQ19" s="82" t="s">
        <v>143</v>
      </c>
      <c r="AR19" s="82" t="s">
        <v>143</v>
      </c>
      <c r="AS19" s="33" t="s">
        <v>143</v>
      </c>
    </row>
    <row r="20" spans="1:45" x14ac:dyDescent="0.2">
      <c r="A20" s="232"/>
      <c r="B20" s="231" t="str">
        <f t="shared" si="0"/>
        <v>5.7.3 / 7.7.2</v>
      </c>
      <c r="C20" s="247"/>
      <c r="D20" s="15" t="s">
        <v>66</v>
      </c>
      <c r="E20" s="15">
        <f t="shared" si="1"/>
        <v>46</v>
      </c>
      <c r="F20" s="15" t="str">
        <f t="shared" si="2"/>
        <v>N/A</v>
      </c>
      <c r="G20" s="16" t="s">
        <v>49</v>
      </c>
      <c r="H20" s="16">
        <v>1</v>
      </c>
      <c r="I20" s="168"/>
      <c r="J20" s="168"/>
      <c r="K20" s="169"/>
      <c r="M20" s="143" t="s">
        <v>599</v>
      </c>
      <c r="N20" s="144" t="s">
        <v>607</v>
      </c>
      <c r="O20" s="144" t="s">
        <v>576</v>
      </c>
      <c r="P20" s="144" t="s">
        <v>511</v>
      </c>
      <c r="Q20" s="144" t="s">
        <v>629</v>
      </c>
      <c r="R20" s="145" t="s">
        <v>636</v>
      </c>
      <c r="T20" s="72">
        <v>46</v>
      </c>
      <c r="U20" s="82">
        <v>46</v>
      </c>
      <c r="V20" s="82">
        <v>46</v>
      </c>
      <c r="W20" s="82">
        <v>46</v>
      </c>
      <c r="X20" s="82">
        <v>46</v>
      </c>
      <c r="Y20" s="82">
        <v>46</v>
      </c>
      <c r="Z20" s="82">
        <v>46</v>
      </c>
      <c r="AA20" s="82">
        <v>46</v>
      </c>
      <c r="AB20" s="82">
        <v>46</v>
      </c>
      <c r="AC20" s="82">
        <v>46</v>
      </c>
      <c r="AD20" s="82">
        <v>46</v>
      </c>
      <c r="AE20" s="82">
        <v>46</v>
      </c>
      <c r="AF20" s="82">
        <v>46</v>
      </c>
      <c r="AG20" s="82" t="s">
        <v>143</v>
      </c>
      <c r="AH20" s="82" t="s">
        <v>143</v>
      </c>
      <c r="AI20" s="82" t="s">
        <v>143</v>
      </c>
      <c r="AJ20" s="82" t="s">
        <v>143</v>
      </c>
      <c r="AK20" s="82" t="s">
        <v>143</v>
      </c>
      <c r="AL20" s="82" t="s">
        <v>143</v>
      </c>
      <c r="AM20" s="82" t="s">
        <v>143</v>
      </c>
      <c r="AN20" s="82" t="s">
        <v>143</v>
      </c>
      <c r="AO20" s="82" t="s">
        <v>143</v>
      </c>
      <c r="AP20" s="82" t="s">
        <v>143</v>
      </c>
      <c r="AQ20" s="82" t="s">
        <v>143</v>
      </c>
      <c r="AR20" s="82" t="s">
        <v>143</v>
      </c>
      <c r="AS20" s="33" t="s">
        <v>143</v>
      </c>
    </row>
    <row r="21" spans="1:45" x14ac:dyDescent="0.2">
      <c r="A21" s="232"/>
      <c r="B21" s="231" t="str">
        <f t="shared" si="0"/>
        <v>5.7.3 / 7.7.2</v>
      </c>
      <c r="C21" s="247"/>
      <c r="D21" s="15" t="s">
        <v>2</v>
      </c>
      <c r="E21" s="15">
        <f t="shared" si="1"/>
        <v>46</v>
      </c>
      <c r="F21" s="15" t="str">
        <f t="shared" si="2"/>
        <v>N/A</v>
      </c>
      <c r="G21" s="16" t="s">
        <v>54</v>
      </c>
      <c r="H21" s="16">
        <v>1</v>
      </c>
      <c r="I21" s="168"/>
      <c r="J21" s="168"/>
      <c r="K21" s="169"/>
      <c r="M21" s="143" t="s">
        <v>599</v>
      </c>
      <c r="N21" s="144" t="s">
        <v>607</v>
      </c>
      <c r="O21" s="144" t="s">
        <v>576</v>
      </c>
      <c r="P21" s="144" t="s">
        <v>511</v>
      </c>
      <c r="Q21" s="144" t="s">
        <v>629</v>
      </c>
      <c r="R21" s="145" t="s">
        <v>636</v>
      </c>
      <c r="T21" s="72">
        <v>46</v>
      </c>
      <c r="U21" s="82">
        <v>46</v>
      </c>
      <c r="V21" s="82">
        <v>46</v>
      </c>
      <c r="W21" s="82">
        <v>46</v>
      </c>
      <c r="X21" s="82">
        <v>46</v>
      </c>
      <c r="Y21" s="82">
        <v>46</v>
      </c>
      <c r="Z21" s="82">
        <v>46</v>
      </c>
      <c r="AA21" s="82">
        <v>46</v>
      </c>
      <c r="AB21" s="82">
        <v>46</v>
      </c>
      <c r="AC21" s="82">
        <v>46</v>
      </c>
      <c r="AD21" s="82">
        <v>46</v>
      </c>
      <c r="AE21" s="82">
        <v>46</v>
      </c>
      <c r="AF21" s="82">
        <v>46</v>
      </c>
      <c r="AG21" s="82" t="s">
        <v>143</v>
      </c>
      <c r="AH21" s="82" t="s">
        <v>143</v>
      </c>
      <c r="AI21" s="82" t="s">
        <v>143</v>
      </c>
      <c r="AJ21" s="82" t="s">
        <v>143</v>
      </c>
      <c r="AK21" s="82" t="s">
        <v>143</v>
      </c>
      <c r="AL21" s="82" t="s">
        <v>143</v>
      </c>
      <c r="AM21" s="82" t="s">
        <v>143</v>
      </c>
      <c r="AN21" s="82" t="s">
        <v>143</v>
      </c>
      <c r="AO21" s="82" t="s">
        <v>143</v>
      </c>
      <c r="AP21" s="82" t="s">
        <v>143</v>
      </c>
      <c r="AQ21" s="82" t="s">
        <v>143</v>
      </c>
      <c r="AR21" s="82" t="s">
        <v>143</v>
      </c>
      <c r="AS21" s="33" t="s">
        <v>143</v>
      </c>
    </row>
    <row r="22" spans="1:45" x14ac:dyDescent="0.2">
      <c r="A22" s="252" t="s">
        <v>17</v>
      </c>
      <c r="B22" s="247" t="str">
        <f t="shared" si="0"/>
        <v>5.8.1 / 7.8.1</v>
      </c>
      <c r="C22" s="89" t="s">
        <v>230</v>
      </c>
      <c r="D22" s="16"/>
      <c r="E22" s="15" t="str">
        <f t="shared" si="1"/>
        <v>mask</v>
      </c>
      <c r="F22" s="16" t="str">
        <f t="shared" si="2"/>
        <v>N/A</v>
      </c>
      <c r="G22" s="16" t="s">
        <v>71</v>
      </c>
      <c r="H22" s="16">
        <v>1</v>
      </c>
      <c r="I22" s="180"/>
      <c r="J22" s="180"/>
      <c r="K22" s="181"/>
      <c r="M22" s="143" t="s">
        <v>504</v>
      </c>
      <c r="N22" s="144" t="s">
        <v>522</v>
      </c>
      <c r="O22" s="144" t="s">
        <v>341</v>
      </c>
      <c r="P22" s="144" t="s">
        <v>341</v>
      </c>
      <c r="Q22" s="144" t="s">
        <v>359</v>
      </c>
      <c r="R22" s="145" t="s">
        <v>366</v>
      </c>
      <c r="T22" s="72" t="s">
        <v>144</v>
      </c>
      <c r="U22" s="82" t="s">
        <v>144</v>
      </c>
      <c r="V22" s="82" t="s">
        <v>144</v>
      </c>
      <c r="W22" s="82" t="s">
        <v>144</v>
      </c>
      <c r="X22" s="82" t="s">
        <v>144</v>
      </c>
      <c r="Y22" s="82" t="s">
        <v>144</v>
      </c>
      <c r="Z22" s="82" t="s">
        <v>144</v>
      </c>
      <c r="AA22" s="82" t="s">
        <v>144</v>
      </c>
      <c r="AB22" s="82" t="s">
        <v>144</v>
      </c>
      <c r="AC22" s="82" t="s">
        <v>144</v>
      </c>
      <c r="AD22" s="82" t="s">
        <v>144</v>
      </c>
      <c r="AE22" s="82" t="s">
        <v>144</v>
      </c>
      <c r="AF22" s="82" t="s">
        <v>144</v>
      </c>
      <c r="AG22" s="82" t="s">
        <v>143</v>
      </c>
      <c r="AH22" s="82" t="s">
        <v>143</v>
      </c>
      <c r="AI22" s="82" t="s">
        <v>143</v>
      </c>
      <c r="AJ22" s="82" t="s">
        <v>143</v>
      </c>
      <c r="AK22" s="82" t="s">
        <v>143</v>
      </c>
      <c r="AL22" s="82" t="s">
        <v>143</v>
      </c>
      <c r="AM22" s="82" t="s">
        <v>143</v>
      </c>
      <c r="AN22" s="82" t="s">
        <v>143</v>
      </c>
      <c r="AO22" s="82" t="s">
        <v>143</v>
      </c>
      <c r="AP22" s="82" t="s">
        <v>143</v>
      </c>
      <c r="AQ22" s="82" t="s">
        <v>143</v>
      </c>
      <c r="AR22" s="82" t="s">
        <v>143</v>
      </c>
      <c r="AS22" s="33" t="s">
        <v>143</v>
      </c>
    </row>
    <row r="23" spans="1:45" x14ac:dyDescent="0.2">
      <c r="A23" s="252"/>
      <c r="B23" s="247" t="str">
        <f t="shared" si="0"/>
        <v>× / 7.8.1</v>
      </c>
      <c r="C23" s="98" t="s">
        <v>233</v>
      </c>
      <c r="D23" s="16"/>
      <c r="E23" s="15" t="str">
        <f t="shared" si="1"/>
        <v>mask</v>
      </c>
      <c r="F23" s="16" t="str">
        <f t="shared" si="2"/>
        <v>N/A</v>
      </c>
      <c r="G23" s="16" t="s">
        <v>21</v>
      </c>
      <c r="H23" s="16">
        <v>4</v>
      </c>
      <c r="I23" s="180"/>
      <c r="J23" s="180"/>
      <c r="K23" s="181"/>
      <c r="M23" s="143" t="s">
        <v>164</v>
      </c>
      <c r="N23" s="144" t="s">
        <v>522</v>
      </c>
      <c r="O23" s="144" t="s">
        <v>341</v>
      </c>
      <c r="P23" s="144" t="s">
        <v>341</v>
      </c>
      <c r="Q23" s="144" t="s">
        <v>359</v>
      </c>
      <c r="R23" s="145" t="s">
        <v>366</v>
      </c>
      <c r="T23" s="72" t="s">
        <v>144</v>
      </c>
      <c r="U23" s="82" t="s">
        <v>144</v>
      </c>
      <c r="V23" s="82" t="s">
        <v>144</v>
      </c>
      <c r="W23" s="82" t="s">
        <v>144</v>
      </c>
      <c r="X23" s="82" t="s">
        <v>144</v>
      </c>
      <c r="Y23" s="82" t="s">
        <v>144</v>
      </c>
      <c r="Z23" s="82" t="s">
        <v>144</v>
      </c>
      <c r="AA23" s="82" t="s">
        <v>144</v>
      </c>
      <c r="AB23" s="82" t="s">
        <v>144</v>
      </c>
      <c r="AC23" s="82" t="s">
        <v>144</v>
      </c>
      <c r="AD23" s="82" t="s">
        <v>144</v>
      </c>
      <c r="AE23" s="82" t="s">
        <v>144</v>
      </c>
      <c r="AF23" s="82" t="s">
        <v>144</v>
      </c>
      <c r="AG23" s="82" t="s">
        <v>143</v>
      </c>
      <c r="AH23" s="82" t="s">
        <v>143</v>
      </c>
      <c r="AI23" s="82" t="s">
        <v>143</v>
      </c>
      <c r="AJ23" s="82" t="s">
        <v>143</v>
      </c>
      <c r="AK23" s="82" t="s">
        <v>143</v>
      </c>
      <c r="AL23" s="82" t="s">
        <v>143</v>
      </c>
      <c r="AM23" s="82" t="s">
        <v>143</v>
      </c>
      <c r="AN23" s="82" t="s">
        <v>143</v>
      </c>
      <c r="AO23" s="82" t="s">
        <v>143</v>
      </c>
      <c r="AP23" s="82" t="s">
        <v>143</v>
      </c>
      <c r="AQ23" s="82" t="s">
        <v>143</v>
      </c>
      <c r="AR23" s="82" t="s">
        <v>143</v>
      </c>
      <c r="AS23" s="33" t="s">
        <v>143</v>
      </c>
    </row>
    <row r="24" spans="1:45" x14ac:dyDescent="0.2">
      <c r="A24" s="252"/>
      <c r="B24" s="247" t="str">
        <f t="shared" si="0"/>
        <v>5.8.2 / 7.8.2</v>
      </c>
      <c r="C24" s="231" t="s">
        <v>231</v>
      </c>
      <c r="D24" s="16" t="s">
        <v>0</v>
      </c>
      <c r="E24" s="15" t="str">
        <f t="shared" si="1"/>
        <v>mask</v>
      </c>
      <c r="F24" s="16" t="str">
        <f t="shared" si="2"/>
        <v>N/A</v>
      </c>
      <c r="G24" s="16" t="s">
        <v>71</v>
      </c>
      <c r="H24" s="16">
        <v>1</v>
      </c>
      <c r="I24" s="180"/>
      <c r="J24" s="180"/>
      <c r="K24" s="181"/>
      <c r="M24" s="143" t="s">
        <v>505</v>
      </c>
      <c r="N24" s="144" t="s">
        <v>523</v>
      </c>
      <c r="O24" s="144" t="s">
        <v>447</v>
      </c>
      <c r="P24" s="144" t="s">
        <v>447</v>
      </c>
      <c r="Q24" s="144" t="s">
        <v>462</v>
      </c>
      <c r="R24" s="145" t="s">
        <v>495</v>
      </c>
      <c r="T24" s="72" t="s">
        <v>144</v>
      </c>
      <c r="U24" s="82" t="s">
        <v>144</v>
      </c>
      <c r="V24" s="82" t="s">
        <v>144</v>
      </c>
      <c r="W24" s="82" t="s">
        <v>144</v>
      </c>
      <c r="X24" s="82" t="s">
        <v>144</v>
      </c>
      <c r="Y24" s="82" t="s">
        <v>144</v>
      </c>
      <c r="Z24" s="82" t="s">
        <v>144</v>
      </c>
      <c r="AA24" s="82" t="s">
        <v>144</v>
      </c>
      <c r="AB24" s="82" t="s">
        <v>144</v>
      </c>
      <c r="AC24" s="82" t="s">
        <v>144</v>
      </c>
      <c r="AD24" s="82" t="s">
        <v>144</v>
      </c>
      <c r="AE24" s="82" t="s">
        <v>144</v>
      </c>
      <c r="AF24" s="82" t="s">
        <v>144</v>
      </c>
      <c r="AG24" s="82" t="s">
        <v>143</v>
      </c>
      <c r="AH24" s="82" t="s">
        <v>143</v>
      </c>
      <c r="AI24" s="82" t="s">
        <v>143</v>
      </c>
      <c r="AJ24" s="82" t="s">
        <v>143</v>
      </c>
      <c r="AK24" s="82" t="s">
        <v>143</v>
      </c>
      <c r="AL24" s="82" t="s">
        <v>143</v>
      </c>
      <c r="AM24" s="82" t="s">
        <v>143</v>
      </c>
      <c r="AN24" s="82" t="s">
        <v>143</v>
      </c>
      <c r="AO24" s="82" t="s">
        <v>143</v>
      </c>
      <c r="AP24" s="82" t="s">
        <v>143</v>
      </c>
      <c r="AQ24" s="82" t="s">
        <v>143</v>
      </c>
      <c r="AR24" s="82" t="s">
        <v>143</v>
      </c>
      <c r="AS24" s="33" t="s">
        <v>143</v>
      </c>
    </row>
    <row r="25" spans="1:45" x14ac:dyDescent="0.2">
      <c r="A25" s="252"/>
      <c r="B25" s="247" t="str">
        <f t="shared" si="0"/>
        <v>5.8.2 / 7.8.2</v>
      </c>
      <c r="C25" s="231"/>
      <c r="D25" s="16" t="s">
        <v>5</v>
      </c>
      <c r="E25" s="15" t="str">
        <f t="shared" si="1"/>
        <v>mask</v>
      </c>
      <c r="F25" s="16" t="str">
        <f t="shared" si="2"/>
        <v>N/A</v>
      </c>
      <c r="G25" s="16" t="s">
        <v>71</v>
      </c>
      <c r="H25" s="16">
        <v>1</v>
      </c>
      <c r="I25" s="180"/>
      <c r="J25" s="180"/>
      <c r="K25" s="181"/>
      <c r="M25" s="143" t="s">
        <v>505</v>
      </c>
      <c r="N25" s="144" t="s">
        <v>523</v>
      </c>
      <c r="O25" s="144" t="s">
        <v>447</v>
      </c>
      <c r="P25" s="144" t="s">
        <v>447</v>
      </c>
      <c r="Q25" s="144" t="s">
        <v>462</v>
      </c>
      <c r="R25" s="145" t="s">
        <v>495</v>
      </c>
      <c r="T25" s="72" t="s">
        <v>144</v>
      </c>
      <c r="U25" s="82" t="s">
        <v>144</v>
      </c>
      <c r="V25" s="82" t="s">
        <v>144</v>
      </c>
      <c r="W25" s="82" t="s">
        <v>144</v>
      </c>
      <c r="X25" s="82" t="s">
        <v>144</v>
      </c>
      <c r="Y25" s="82" t="s">
        <v>144</v>
      </c>
      <c r="Z25" s="82" t="s">
        <v>144</v>
      </c>
      <c r="AA25" s="82" t="s">
        <v>144</v>
      </c>
      <c r="AB25" s="82" t="s">
        <v>144</v>
      </c>
      <c r="AC25" s="82" t="s">
        <v>144</v>
      </c>
      <c r="AD25" s="82" t="s">
        <v>144</v>
      </c>
      <c r="AE25" s="82" t="s">
        <v>144</v>
      </c>
      <c r="AF25" s="82" t="s">
        <v>144</v>
      </c>
      <c r="AG25" s="82" t="s">
        <v>143</v>
      </c>
      <c r="AH25" s="82" t="s">
        <v>143</v>
      </c>
      <c r="AI25" s="82" t="s">
        <v>143</v>
      </c>
      <c r="AJ25" s="82" t="s">
        <v>143</v>
      </c>
      <c r="AK25" s="82" t="s">
        <v>143</v>
      </c>
      <c r="AL25" s="82" t="s">
        <v>143</v>
      </c>
      <c r="AM25" s="82" t="s">
        <v>143</v>
      </c>
      <c r="AN25" s="82" t="s">
        <v>143</v>
      </c>
      <c r="AO25" s="82" t="s">
        <v>143</v>
      </c>
      <c r="AP25" s="82" t="s">
        <v>143</v>
      </c>
      <c r="AQ25" s="82" t="s">
        <v>143</v>
      </c>
      <c r="AR25" s="82" t="s">
        <v>143</v>
      </c>
      <c r="AS25" s="33" t="s">
        <v>143</v>
      </c>
    </row>
    <row r="26" spans="1:45" x14ac:dyDescent="0.2">
      <c r="A26" s="252"/>
      <c r="B26" s="247" t="str">
        <f t="shared" si="0"/>
        <v>5.8.2 / 7.8.2</v>
      </c>
      <c r="C26" s="259" t="s">
        <v>232</v>
      </c>
      <c r="D26" s="16" t="s">
        <v>0</v>
      </c>
      <c r="E26" s="15" t="str">
        <f t="shared" si="1"/>
        <v>mask</v>
      </c>
      <c r="F26" s="16" t="str">
        <f t="shared" si="2"/>
        <v>N/A</v>
      </c>
      <c r="G26" s="16" t="s">
        <v>71</v>
      </c>
      <c r="H26" s="16">
        <v>4</v>
      </c>
      <c r="I26" s="180"/>
      <c r="J26" s="180"/>
      <c r="K26" s="181"/>
      <c r="M26" s="143" t="s">
        <v>505</v>
      </c>
      <c r="N26" s="144" t="s">
        <v>523</v>
      </c>
      <c r="O26" s="144" t="s">
        <v>447</v>
      </c>
      <c r="P26" s="144" t="s">
        <v>447</v>
      </c>
      <c r="Q26" s="144" t="s">
        <v>462</v>
      </c>
      <c r="R26" s="145" t="s">
        <v>495</v>
      </c>
      <c r="T26" s="72" t="s">
        <v>144</v>
      </c>
      <c r="U26" s="82" t="s">
        <v>144</v>
      </c>
      <c r="V26" s="82" t="s">
        <v>144</v>
      </c>
      <c r="W26" s="82" t="s">
        <v>144</v>
      </c>
      <c r="X26" s="82" t="s">
        <v>144</v>
      </c>
      <c r="Y26" s="82" t="s">
        <v>144</v>
      </c>
      <c r="Z26" s="82" t="s">
        <v>144</v>
      </c>
      <c r="AA26" s="82" t="s">
        <v>144</v>
      </c>
      <c r="AB26" s="82" t="s">
        <v>144</v>
      </c>
      <c r="AC26" s="82" t="s">
        <v>144</v>
      </c>
      <c r="AD26" s="82" t="s">
        <v>144</v>
      </c>
      <c r="AE26" s="82" t="s">
        <v>144</v>
      </c>
      <c r="AF26" s="82" t="s">
        <v>144</v>
      </c>
      <c r="AG26" s="82" t="s">
        <v>143</v>
      </c>
      <c r="AH26" s="82" t="s">
        <v>143</v>
      </c>
      <c r="AI26" s="82" t="s">
        <v>143</v>
      </c>
      <c r="AJ26" s="82" t="s">
        <v>143</v>
      </c>
      <c r="AK26" s="82" t="s">
        <v>143</v>
      </c>
      <c r="AL26" s="82" t="s">
        <v>143</v>
      </c>
      <c r="AM26" s="82" t="s">
        <v>143</v>
      </c>
      <c r="AN26" s="82" t="s">
        <v>143</v>
      </c>
      <c r="AO26" s="82" t="s">
        <v>143</v>
      </c>
      <c r="AP26" s="82" t="s">
        <v>143</v>
      </c>
      <c r="AQ26" s="82" t="s">
        <v>143</v>
      </c>
      <c r="AR26" s="82" t="s">
        <v>143</v>
      </c>
      <c r="AS26" s="33" t="s">
        <v>143</v>
      </c>
    </row>
    <row r="27" spans="1:45" x14ac:dyDescent="0.2">
      <c r="A27" s="252"/>
      <c r="B27" s="247" t="str">
        <f t="shared" si="0"/>
        <v>5.8.2 / 7.8.2</v>
      </c>
      <c r="C27" s="231"/>
      <c r="D27" s="16" t="s">
        <v>5</v>
      </c>
      <c r="E27" s="15" t="str">
        <f t="shared" si="1"/>
        <v>mask</v>
      </c>
      <c r="F27" s="16" t="str">
        <f t="shared" si="2"/>
        <v>N/A</v>
      </c>
      <c r="G27" s="16" t="s">
        <v>71</v>
      </c>
      <c r="H27" s="16">
        <v>4</v>
      </c>
      <c r="I27" s="180"/>
      <c r="J27" s="180"/>
      <c r="K27" s="181"/>
      <c r="M27" s="143" t="s">
        <v>505</v>
      </c>
      <c r="N27" s="144" t="s">
        <v>523</v>
      </c>
      <c r="O27" s="144" t="s">
        <v>447</v>
      </c>
      <c r="P27" s="144" t="s">
        <v>447</v>
      </c>
      <c r="Q27" s="144" t="s">
        <v>462</v>
      </c>
      <c r="R27" s="145" t="s">
        <v>495</v>
      </c>
      <c r="T27" s="72" t="s">
        <v>144</v>
      </c>
      <c r="U27" s="82" t="s">
        <v>144</v>
      </c>
      <c r="V27" s="82" t="s">
        <v>144</v>
      </c>
      <c r="W27" s="82" t="s">
        <v>144</v>
      </c>
      <c r="X27" s="82" t="s">
        <v>144</v>
      </c>
      <c r="Y27" s="82" t="s">
        <v>144</v>
      </c>
      <c r="Z27" s="82" t="s">
        <v>144</v>
      </c>
      <c r="AA27" s="82" t="s">
        <v>144</v>
      </c>
      <c r="AB27" s="82" t="s">
        <v>144</v>
      </c>
      <c r="AC27" s="82" t="s">
        <v>144</v>
      </c>
      <c r="AD27" s="82" t="s">
        <v>144</v>
      </c>
      <c r="AE27" s="82" t="s">
        <v>144</v>
      </c>
      <c r="AF27" s="82" t="s">
        <v>144</v>
      </c>
      <c r="AG27" s="82" t="s">
        <v>143</v>
      </c>
      <c r="AH27" s="82" t="s">
        <v>143</v>
      </c>
      <c r="AI27" s="82" t="s">
        <v>143</v>
      </c>
      <c r="AJ27" s="82" t="s">
        <v>143</v>
      </c>
      <c r="AK27" s="82" t="s">
        <v>143</v>
      </c>
      <c r="AL27" s="82" t="s">
        <v>143</v>
      </c>
      <c r="AM27" s="82" t="s">
        <v>143</v>
      </c>
      <c r="AN27" s="82" t="s">
        <v>143</v>
      </c>
      <c r="AO27" s="82" t="s">
        <v>143</v>
      </c>
      <c r="AP27" s="82" t="s">
        <v>143</v>
      </c>
      <c r="AQ27" s="82" t="s">
        <v>143</v>
      </c>
      <c r="AR27" s="82" t="s">
        <v>143</v>
      </c>
      <c r="AS27" s="33" t="s">
        <v>143</v>
      </c>
    </row>
    <row r="28" spans="1:45" x14ac:dyDescent="0.2">
      <c r="A28" s="260" t="s">
        <v>20</v>
      </c>
      <c r="B28" s="263" t="str">
        <f t="shared" si="0"/>
        <v>5.13.3 / 7.11</v>
      </c>
      <c r="C28" s="221" t="s">
        <v>172</v>
      </c>
      <c r="D28" s="73" t="s">
        <v>661</v>
      </c>
      <c r="E28" s="73">
        <f t="shared" si="1"/>
        <v>0.5</v>
      </c>
      <c r="F28" s="73">
        <f t="shared" si="2"/>
        <v>1</v>
      </c>
      <c r="G28" s="73" t="s">
        <v>345</v>
      </c>
      <c r="H28" s="73">
        <v>2</v>
      </c>
      <c r="I28" s="178"/>
      <c r="J28" s="178"/>
      <c r="K28" s="179"/>
      <c r="M28" s="143" t="s">
        <v>604</v>
      </c>
      <c r="N28" s="144" t="s">
        <v>614</v>
      </c>
      <c r="O28" s="144" t="s">
        <v>620</v>
      </c>
      <c r="P28" s="144">
        <v>7.11</v>
      </c>
      <c r="Q28" s="144" t="s">
        <v>473</v>
      </c>
      <c r="R28" s="145" t="s">
        <v>499</v>
      </c>
      <c r="T28" s="186">
        <v>0.5</v>
      </c>
      <c r="U28" s="187">
        <v>0.5</v>
      </c>
      <c r="V28" s="187">
        <v>0.5</v>
      </c>
      <c r="W28" s="187">
        <v>0.5</v>
      </c>
      <c r="X28" s="187">
        <v>0.5</v>
      </c>
      <c r="Y28" s="187">
        <v>0.5</v>
      </c>
      <c r="Z28" s="187">
        <v>0.5</v>
      </c>
      <c r="AA28" s="187">
        <v>0.5</v>
      </c>
      <c r="AB28" s="187">
        <v>0.5</v>
      </c>
      <c r="AC28" s="187">
        <v>0.5</v>
      </c>
      <c r="AD28" s="187">
        <v>0.5</v>
      </c>
      <c r="AE28" s="187">
        <v>0.5</v>
      </c>
      <c r="AF28" s="187">
        <v>0.5</v>
      </c>
      <c r="AG28" s="187">
        <v>1</v>
      </c>
      <c r="AH28" s="187">
        <v>1</v>
      </c>
      <c r="AI28" s="187">
        <v>1</v>
      </c>
      <c r="AJ28" s="187">
        <v>1</v>
      </c>
      <c r="AK28" s="187">
        <v>1</v>
      </c>
      <c r="AL28" s="187">
        <v>1</v>
      </c>
      <c r="AM28" s="187">
        <v>1</v>
      </c>
      <c r="AN28" s="187">
        <v>1</v>
      </c>
      <c r="AO28" s="187">
        <v>1</v>
      </c>
      <c r="AP28" s="187">
        <v>1</v>
      </c>
      <c r="AQ28" s="187">
        <v>1</v>
      </c>
      <c r="AR28" s="187">
        <v>1</v>
      </c>
      <c r="AS28" s="188">
        <v>1</v>
      </c>
    </row>
    <row r="29" spans="1:45" x14ac:dyDescent="0.2">
      <c r="A29" s="261"/>
      <c r="B29" s="264"/>
      <c r="C29" s="222"/>
      <c r="D29" s="159" t="s">
        <v>655</v>
      </c>
      <c r="E29" s="159">
        <f t="shared" si="1"/>
        <v>0.8</v>
      </c>
      <c r="F29" s="159">
        <f t="shared" ref="F29" si="3">HLOOKUP(IF(OR("GSM"=Network,"WCDMA"=Network),"UMTS",IF(OR("VoLTE"=Network,"VoNR"=Network,"VoWiFi"=Network),"VoIMS",Network))&amp;" "&amp;VCBW,$AG$3:$AS$57,ROW(E29)-ROW($AG$3)+1,FALSE)</f>
        <v>1</v>
      </c>
      <c r="G29" s="159" t="s">
        <v>345</v>
      </c>
      <c r="H29" s="159">
        <v>1</v>
      </c>
      <c r="I29" s="178"/>
      <c r="J29" s="178"/>
      <c r="K29" s="179"/>
      <c r="M29" s="143" t="s">
        <v>603</v>
      </c>
      <c r="N29" s="144" t="s">
        <v>613</v>
      </c>
      <c r="O29" s="144" t="s">
        <v>347</v>
      </c>
      <c r="P29" s="144">
        <v>7.11</v>
      </c>
      <c r="Q29" s="144" t="s">
        <v>472</v>
      </c>
      <c r="R29" s="145" t="s">
        <v>498</v>
      </c>
      <c r="T29" s="186">
        <v>0.8</v>
      </c>
      <c r="U29" s="187">
        <v>0.8</v>
      </c>
      <c r="V29" s="187">
        <v>0.8</v>
      </c>
      <c r="W29" s="187">
        <v>0.8</v>
      </c>
      <c r="X29" s="187">
        <v>0.8</v>
      </c>
      <c r="Y29" s="187">
        <v>0.8</v>
      </c>
      <c r="Z29" s="187">
        <v>0.8</v>
      </c>
      <c r="AA29" s="187">
        <v>0.8</v>
      </c>
      <c r="AB29" s="187">
        <v>0.8</v>
      </c>
      <c r="AC29" s="187">
        <v>0.8</v>
      </c>
      <c r="AD29" s="187">
        <v>0.8</v>
      </c>
      <c r="AE29" s="187">
        <v>0.8</v>
      </c>
      <c r="AF29" s="187">
        <v>0.8</v>
      </c>
      <c r="AG29" s="187">
        <v>1</v>
      </c>
      <c r="AH29" s="187">
        <v>1</v>
      </c>
      <c r="AI29" s="187">
        <v>1</v>
      </c>
      <c r="AJ29" s="187">
        <v>1</v>
      </c>
      <c r="AK29" s="187">
        <v>1</v>
      </c>
      <c r="AL29" s="187">
        <v>1</v>
      </c>
      <c r="AM29" s="187">
        <v>1</v>
      </c>
      <c r="AN29" s="187">
        <v>1</v>
      </c>
      <c r="AO29" s="187">
        <v>1</v>
      </c>
      <c r="AP29" s="187">
        <v>1</v>
      </c>
      <c r="AQ29" s="187">
        <v>1</v>
      </c>
      <c r="AR29" s="187">
        <v>1</v>
      </c>
      <c r="AS29" s="188">
        <v>1</v>
      </c>
    </row>
    <row r="30" spans="1:45" x14ac:dyDescent="0.2">
      <c r="A30" s="261"/>
      <c r="B30" s="264" t="str">
        <f t="shared" si="0"/>
        <v>5.13.3 / 7.11</v>
      </c>
      <c r="C30" s="73" t="s">
        <v>174</v>
      </c>
      <c r="D30" s="73" t="s">
        <v>173</v>
      </c>
      <c r="E30" s="73">
        <f t="shared" si="1"/>
        <v>0.8</v>
      </c>
      <c r="F30" s="73">
        <f t="shared" si="2"/>
        <v>1</v>
      </c>
      <c r="G30" s="159" t="s">
        <v>345</v>
      </c>
      <c r="H30" s="73">
        <v>1</v>
      </c>
      <c r="I30" s="178"/>
      <c r="J30" s="178"/>
      <c r="K30" s="179"/>
      <c r="M30" s="143" t="s">
        <v>603</v>
      </c>
      <c r="N30" s="144" t="s">
        <v>613</v>
      </c>
      <c r="O30" s="144" t="s">
        <v>347</v>
      </c>
      <c r="P30" s="144">
        <v>7.11</v>
      </c>
      <c r="Q30" s="144" t="s">
        <v>472</v>
      </c>
      <c r="R30" s="145" t="s">
        <v>498</v>
      </c>
      <c r="T30" s="186">
        <v>0.8</v>
      </c>
      <c r="U30" s="187">
        <v>0.8</v>
      </c>
      <c r="V30" s="187">
        <v>0.8</v>
      </c>
      <c r="W30" s="187">
        <v>0.8</v>
      </c>
      <c r="X30" s="187">
        <v>0.8</v>
      </c>
      <c r="Y30" s="187">
        <v>0.8</v>
      </c>
      <c r="Z30" s="187">
        <v>0.8</v>
      </c>
      <c r="AA30" s="187">
        <v>0.8</v>
      </c>
      <c r="AB30" s="187">
        <v>0.8</v>
      </c>
      <c r="AC30" s="187">
        <v>0.8</v>
      </c>
      <c r="AD30" s="187">
        <v>0.8</v>
      </c>
      <c r="AE30" s="187">
        <v>0.8</v>
      </c>
      <c r="AF30" s="187">
        <v>0.8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61"/>
      <c r="B31" s="264"/>
      <c r="C31" s="221" t="s">
        <v>175</v>
      </c>
      <c r="D31" s="159" t="s">
        <v>658</v>
      </c>
      <c r="E31" s="159">
        <f t="shared" si="1"/>
        <v>0.5</v>
      </c>
      <c r="F31" s="159">
        <f t="shared" ref="F31" si="4">HLOOKUP(IF(OR("GSM"=Network,"WCDMA"=Network),"UMTS",IF(OR("VoLTE"=Network,"VoNR"=Network,"VoWiFi"=Network),"VoIMS",Network))&amp;" "&amp;VCBW,$AG$3:$AS$57,ROW(E31)-ROW($AG$3)+1,FALSE)</f>
        <v>1</v>
      </c>
      <c r="G31" s="159" t="s">
        <v>345</v>
      </c>
      <c r="H31" s="159">
        <v>2</v>
      </c>
      <c r="I31" s="178"/>
      <c r="J31" s="178"/>
      <c r="K31" s="179"/>
      <c r="M31" s="143" t="s">
        <v>603</v>
      </c>
      <c r="N31" s="144" t="s">
        <v>613</v>
      </c>
      <c r="O31" s="144" t="s">
        <v>347</v>
      </c>
      <c r="P31" s="144">
        <v>7.11</v>
      </c>
      <c r="Q31" s="144" t="s">
        <v>472</v>
      </c>
      <c r="R31" s="145" t="s">
        <v>498</v>
      </c>
      <c r="T31" s="186">
        <v>0.5</v>
      </c>
      <c r="U31" s="187">
        <v>0.5</v>
      </c>
      <c r="V31" s="187">
        <v>0.5</v>
      </c>
      <c r="W31" s="187">
        <v>0.5</v>
      </c>
      <c r="X31" s="187">
        <v>0.5</v>
      </c>
      <c r="Y31" s="187">
        <v>0.5</v>
      </c>
      <c r="Z31" s="187">
        <v>0.5</v>
      </c>
      <c r="AA31" s="187">
        <v>0.5</v>
      </c>
      <c r="AB31" s="187">
        <v>0.5</v>
      </c>
      <c r="AC31" s="187">
        <v>0.5</v>
      </c>
      <c r="AD31" s="187">
        <v>0.5</v>
      </c>
      <c r="AE31" s="187">
        <v>0.5</v>
      </c>
      <c r="AF31" s="187">
        <v>0.5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61"/>
      <c r="B32" s="264" t="str">
        <f t="shared" si="0"/>
        <v>5.13.3 / 7.11</v>
      </c>
      <c r="C32" s="222"/>
      <c r="D32" s="73" t="s">
        <v>173</v>
      </c>
      <c r="E32" s="73">
        <f t="shared" si="1"/>
        <v>0.8</v>
      </c>
      <c r="F32" s="73">
        <f t="shared" si="2"/>
        <v>1</v>
      </c>
      <c r="G32" s="159" t="s">
        <v>345</v>
      </c>
      <c r="H32" s="73">
        <v>1</v>
      </c>
      <c r="I32" s="178"/>
      <c r="J32" s="178"/>
      <c r="K32" s="179"/>
      <c r="M32" s="143" t="s">
        <v>603</v>
      </c>
      <c r="N32" s="144" t="s">
        <v>613</v>
      </c>
      <c r="O32" s="144" t="s">
        <v>347</v>
      </c>
      <c r="P32" s="144">
        <v>7.11</v>
      </c>
      <c r="Q32" s="144" t="s">
        <v>473</v>
      </c>
      <c r="R32" s="145" t="s">
        <v>499</v>
      </c>
      <c r="T32" s="186">
        <v>0.8</v>
      </c>
      <c r="U32" s="187">
        <v>0.8</v>
      </c>
      <c r="V32" s="187">
        <v>0.8</v>
      </c>
      <c r="W32" s="187">
        <v>0.8</v>
      </c>
      <c r="X32" s="187">
        <v>0.8</v>
      </c>
      <c r="Y32" s="187">
        <v>0.8</v>
      </c>
      <c r="Z32" s="187">
        <v>0.8</v>
      </c>
      <c r="AA32" s="187">
        <v>0.8</v>
      </c>
      <c r="AB32" s="187">
        <v>0.8</v>
      </c>
      <c r="AC32" s="187">
        <v>0.8</v>
      </c>
      <c r="AD32" s="187">
        <v>0.8</v>
      </c>
      <c r="AE32" s="187">
        <v>0.8</v>
      </c>
      <c r="AF32" s="187">
        <v>0.8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62"/>
      <c r="B33" s="265" t="str">
        <f t="shared" si="0"/>
        <v>5.13.3 / 7.11</v>
      </c>
      <c r="C33" s="73" t="s">
        <v>176</v>
      </c>
      <c r="D33" s="73" t="s">
        <v>173</v>
      </c>
      <c r="E33" s="73">
        <f t="shared" si="1"/>
        <v>0.8</v>
      </c>
      <c r="F33" s="73">
        <f t="shared" si="2"/>
        <v>1</v>
      </c>
      <c r="G33" s="159" t="s">
        <v>345</v>
      </c>
      <c r="H33" s="73">
        <v>1</v>
      </c>
      <c r="I33" s="178"/>
      <c r="J33" s="178"/>
      <c r="K33" s="179"/>
      <c r="M33" s="143" t="s">
        <v>603</v>
      </c>
      <c r="N33" s="144" t="s">
        <v>613</v>
      </c>
      <c r="O33" s="144" t="s">
        <v>347</v>
      </c>
      <c r="P33" s="144" t="s">
        <v>579</v>
      </c>
      <c r="Q33" s="144" t="s">
        <v>473</v>
      </c>
      <c r="R33" s="145" t="s">
        <v>499</v>
      </c>
      <c r="T33" s="186">
        <v>0.8</v>
      </c>
      <c r="U33" s="187">
        <v>0.8</v>
      </c>
      <c r="V33" s="187">
        <v>0.8</v>
      </c>
      <c r="W33" s="187">
        <v>0.8</v>
      </c>
      <c r="X33" s="187">
        <v>0.8</v>
      </c>
      <c r="Y33" s="187">
        <v>0.8</v>
      </c>
      <c r="Z33" s="187">
        <v>0.8</v>
      </c>
      <c r="AA33" s="187">
        <v>0.8</v>
      </c>
      <c r="AB33" s="187">
        <v>0.8</v>
      </c>
      <c r="AC33" s="187">
        <v>0.8</v>
      </c>
      <c r="AD33" s="187">
        <v>0.8</v>
      </c>
      <c r="AE33" s="187">
        <v>0.8</v>
      </c>
      <c r="AF33" s="187">
        <v>0.8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52" t="s">
        <v>63</v>
      </c>
      <c r="B34" s="247" t="str">
        <f t="shared" si="0"/>
        <v>5.11.3 / 7.12.2</v>
      </c>
      <c r="C34" s="16" t="s">
        <v>37</v>
      </c>
      <c r="D34" s="16" t="s">
        <v>40</v>
      </c>
      <c r="E34" s="15">
        <f t="shared" si="1"/>
        <v>3.5</v>
      </c>
      <c r="F34" s="15">
        <f t="shared" si="2"/>
        <v>5</v>
      </c>
      <c r="G34" s="16" t="s">
        <v>21</v>
      </c>
      <c r="H34" s="16">
        <v>1</v>
      </c>
      <c r="I34" s="168"/>
      <c r="J34" s="168"/>
      <c r="K34" s="169"/>
      <c r="M34" s="143" t="s">
        <v>602</v>
      </c>
      <c r="N34" s="144" t="s">
        <v>612</v>
      </c>
      <c r="O34" s="144" t="s">
        <v>619</v>
      </c>
      <c r="P34" s="144" t="s">
        <v>546</v>
      </c>
      <c r="Q34" s="144" t="s">
        <v>630</v>
      </c>
      <c r="R34" s="145" t="s">
        <v>637</v>
      </c>
      <c r="T34" s="72">
        <v>3.5</v>
      </c>
      <c r="U34" s="82">
        <v>3.5</v>
      </c>
      <c r="V34" s="82">
        <v>3.5</v>
      </c>
      <c r="W34" s="82">
        <v>3.5</v>
      </c>
      <c r="X34" s="82">
        <v>3.5</v>
      </c>
      <c r="Y34" s="82">
        <v>3.5</v>
      </c>
      <c r="Z34" s="82">
        <v>3.5</v>
      </c>
      <c r="AA34" s="82">
        <v>3.5</v>
      </c>
      <c r="AB34" s="82">
        <v>3.5</v>
      </c>
      <c r="AC34" s="82">
        <v>3.5</v>
      </c>
      <c r="AD34" s="82">
        <v>3.5</v>
      </c>
      <c r="AE34" s="82">
        <v>3.5</v>
      </c>
      <c r="AF34" s="82">
        <v>3.5</v>
      </c>
      <c r="AG34" s="82">
        <v>5</v>
      </c>
      <c r="AH34" s="82">
        <v>5</v>
      </c>
      <c r="AI34" s="82">
        <v>5</v>
      </c>
      <c r="AJ34" s="82">
        <v>5</v>
      </c>
      <c r="AK34" s="82">
        <v>5</v>
      </c>
      <c r="AL34" s="82">
        <v>5</v>
      </c>
      <c r="AM34" s="82">
        <v>5</v>
      </c>
      <c r="AN34" s="82">
        <v>5</v>
      </c>
      <c r="AO34" s="82">
        <v>5</v>
      </c>
      <c r="AP34" s="82">
        <v>5</v>
      </c>
      <c r="AQ34" s="82">
        <v>5</v>
      </c>
      <c r="AR34" s="82">
        <v>5</v>
      </c>
      <c r="AS34" s="33">
        <v>5</v>
      </c>
    </row>
    <row r="35" spans="1:45" x14ac:dyDescent="0.2">
      <c r="A35" s="252"/>
      <c r="B35" s="247" t="str">
        <f t="shared" si="0"/>
        <v>5.11.3 / 7.12.2</v>
      </c>
      <c r="C35" s="16" t="s">
        <v>38</v>
      </c>
      <c r="D35" s="16" t="s">
        <v>40</v>
      </c>
      <c r="E35" s="15">
        <f t="shared" si="1"/>
        <v>3</v>
      </c>
      <c r="F35" s="15">
        <f t="shared" si="2"/>
        <v>5</v>
      </c>
      <c r="G35" s="16" t="s">
        <v>21</v>
      </c>
      <c r="H35" s="16">
        <v>1</v>
      </c>
      <c r="I35" s="168"/>
      <c r="J35" s="168"/>
      <c r="K35" s="169"/>
      <c r="M35" s="143" t="s">
        <v>601</v>
      </c>
      <c r="N35" s="144" t="s">
        <v>611</v>
      </c>
      <c r="O35" s="144" t="s">
        <v>618</v>
      </c>
      <c r="P35" s="144" t="s">
        <v>545</v>
      </c>
      <c r="Q35" s="144" t="s">
        <v>630</v>
      </c>
      <c r="R35" s="145" t="s">
        <v>637</v>
      </c>
      <c r="T35" s="72">
        <v>3</v>
      </c>
      <c r="U35" s="82">
        <v>3</v>
      </c>
      <c r="V35" s="82">
        <v>3</v>
      </c>
      <c r="W35" s="82">
        <v>3</v>
      </c>
      <c r="X35" s="82">
        <v>3</v>
      </c>
      <c r="Y35" s="82">
        <v>3</v>
      </c>
      <c r="Z35" s="82">
        <v>3</v>
      </c>
      <c r="AA35" s="82">
        <v>3</v>
      </c>
      <c r="AB35" s="82">
        <v>3</v>
      </c>
      <c r="AC35" s="82">
        <v>3</v>
      </c>
      <c r="AD35" s="82">
        <v>3</v>
      </c>
      <c r="AE35" s="82">
        <v>3</v>
      </c>
      <c r="AF35" s="82">
        <v>3</v>
      </c>
      <c r="AG35" s="82">
        <v>5</v>
      </c>
      <c r="AH35" s="82">
        <v>5</v>
      </c>
      <c r="AI35" s="82">
        <v>5</v>
      </c>
      <c r="AJ35" s="82">
        <v>5</v>
      </c>
      <c r="AK35" s="82">
        <v>5</v>
      </c>
      <c r="AL35" s="82">
        <v>5</v>
      </c>
      <c r="AM35" s="82">
        <v>5</v>
      </c>
      <c r="AN35" s="82">
        <v>5</v>
      </c>
      <c r="AO35" s="82">
        <v>5</v>
      </c>
      <c r="AP35" s="82">
        <v>5</v>
      </c>
      <c r="AQ35" s="82">
        <v>5</v>
      </c>
      <c r="AR35" s="82">
        <v>5</v>
      </c>
      <c r="AS35" s="33">
        <v>5</v>
      </c>
    </row>
    <row r="36" spans="1:45" x14ac:dyDescent="0.2">
      <c r="A36" s="252"/>
      <c r="B36" s="247" t="str">
        <f t="shared" si="0"/>
        <v>5.11.3 / 7.12.2</v>
      </c>
      <c r="C36" s="16" t="s">
        <v>39</v>
      </c>
      <c r="D36" s="16" t="s">
        <v>40</v>
      </c>
      <c r="E36" s="15">
        <f t="shared" si="1"/>
        <v>3</v>
      </c>
      <c r="F36" s="15">
        <f t="shared" si="2"/>
        <v>5</v>
      </c>
      <c r="G36" s="16" t="s">
        <v>21</v>
      </c>
      <c r="H36" s="16">
        <v>1</v>
      </c>
      <c r="I36" s="168"/>
      <c r="J36" s="168"/>
      <c r="K36" s="169"/>
      <c r="M36" s="143" t="s">
        <v>601</v>
      </c>
      <c r="N36" s="144" t="s">
        <v>611</v>
      </c>
      <c r="O36" s="144" t="s">
        <v>618</v>
      </c>
      <c r="P36" s="144" t="s">
        <v>545</v>
      </c>
      <c r="Q36" s="144" t="s">
        <v>630</v>
      </c>
      <c r="R36" s="145" t="s">
        <v>637</v>
      </c>
      <c r="T36" s="72">
        <v>3</v>
      </c>
      <c r="U36" s="82">
        <v>3</v>
      </c>
      <c r="V36" s="82">
        <v>3</v>
      </c>
      <c r="W36" s="82">
        <v>3</v>
      </c>
      <c r="X36" s="82">
        <v>3</v>
      </c>
      <c r="Y36" s="82">
        <v>3</v>
      </c>
      <c r="Z36" s="82">
        <v>3</v>
      </c>
      <c r="AA36" s="82">
        <v>3</v>
      </c>
      <c r="AB36" s="82">
        <v>3</v>
      </c>
      <c r="AC36" s="82">
        <v>3</v>
      </c>
      <c r="AD36" s="82">
        <v>3</v>
      </c>
      <c r="AE36" s="82">
        <v>3</v>
      </c>
      <c r="AF36" s="82">
        <v>3</v>
      </c>
      <c r="AG36" s="82">
        <v>5</v>
      </c>
      <c r="AH36" s="82">
        <v>5</v>
      </c>
      <c r="AI36" s="82">
        <v>5</v>
      </c>
      <c r="AJ36" s="82">
        <v>5</v>
      </c>
      <c r="AK36" s="82">
        <v>5</v>
      </c>
      <c r="AL36" s="82">
        <v>5</v>
      </c>
      <c r="AM36" s="82">
        <v>5</v>
      </c>
      <c r="AN36" s="82">
        <v>5</v>
      </c>
      <c r="AO36" s="82">
        <v>5</v>
      </c>
      <c r="AP36" s="82">
        <v>5</v>
      </c>
      <c r="AQ36" s="82">
        <v>5</v>
      </c>
      <c r="AR36" s="82">
        <v>5</v>
      </c>
      <c r="AS36" s="33">
        <v>5</v>
      </c>
    </row>
    <row r="37" spans="1:45" x14ac:dyDescent="0.2">
      <c r="A37" s="252"/>
      <c r="B37" s="247" t="str">
        <f t="shared" si="0"/>
        <v>5.11.3 / 7.12.2</v>
      </c>
      <c r="C37" s="247" t="s">
        <v>37</v>
      </c>
      <c r="D37" s="16" t="s">
        <v>29</v>
      </c>
      <c r="E37" s="15">
        <f t="shared" si="1"/>
        <v>3.1</v>
      </c>
      <c r="F37" s="15">
        <f t="shared" si="2"/>
        <v>5</v>
      </c>
      <c r="G37" s="16" t="s">
        <v>21</v>
      </c>
      <c r="H37" s="16">
        <v>2</v>
      </c>
      <c r="I37" s="168"/>
      <c r="J37" s="168"/>
      <c r="K37" s="169"/>
      <c r="M37" s="143" t="s">
        <v>601</v>
      </c>
      <c r="N37" s="144" t="s">
        <v>611</v>
      </c>
      <c r="O37" s="144" t="s">
        <v>618</v>
      </c>
      <c r="P37" s="144" t="s">
        <v>545</v>
      </c>
      <c r="Q37" s="144" t="s">
        <v>630</v>
      </c>
      <c r="R37" s="145" t="s">
        <v>637</v>
      </c>
      <c r="T37" s="72">
        <v>3.1</v>
      </c>
      <c r="U37" s="82">
        <v>3.1</v>
      </c>
      <c r="V37" s="82">
        <v>3.1</v>
      </c>
      <c r="W37" s="82">
        <v>3.1</v>
      </c>
      <c r="X37" s="82">
        <v>3.1</v>
      </c>
      <c r="Y37" s="82">
        <v>3.1</v>
      </c>
      <c r="Z37" s="82">
        <v>3.1</v>
      </c>
      <c r="AA37" s="82">
        <v>3.1</v>
      </c>
      <c r="AB37" s="82">
        <v>3.1</v>
      </c>
      <c r="AC37" s="82">
        <v>3.1</v>
      </c>
      <c r="AD37" s="82">
        <v>3.1</v>
      </c>
      <c r="AE37" s="82">
        <v>3.1</v>
      </c>
      <c r="AF37" s="82">
        <v>3.1</v>
      </c>
      <c r="AG37" s="82">
        <v>5</v>
      </c>
      <c r="AH37" s="82">
        <v>5</v>
      </c>
      <c r="AI37" s="82">
        <v>5</v>
      </c>
      <c r="AJ37" s="82">
        <v>5</v>
      </c>
      <c r="AK37" s="82">
        <v>5</v>
      </c>
      <c r="AL37" s="82">
        <v>5</v>
      </c>
      <c r="AM37" s="82">
        <v>5</v>
      </c>
      <c r="AN37" s="82">
        <v>5</v>
      </c>
      <c r="AO37" s="82">
        <v>5</v>
      </c>
      <c r="AP37" s="82">
        <v>5</v>
      </c>
      <c r="AQ37" s="82">
        <v>5</v>
      </c>
      <c r="AR37" s="82">
        <v>5</v>
      </c>
      <c r="AS37" s="33">
        <v>5</v>
      </c>
    </row>
    <row r="38" spans="1:45" x14ac:dyDescent="0.2">
      <c r="A38" s="252"/>
      <c r="B38" s="247" t="str">
        <f t="shared" si="0"/>
        <v>5.11.3 / 7.12.2</v>
      </c>
      <c r="C38" s="247"/>
      <c r="D38" s="16" t="s">
        <v>30</v>
      </c>
      <c r="E38" s="15">
        <f t="shared" si="1"/>
        <v>2.8</v>
      </c>
      <c r="F38" s="15">
        <f t="shared" si="2"/>
        <v>5</v>
      </c>
      <c r="G38" s="16" t="s">
        <v>21</v>
      </c>
      <c r="H38" s="16">
        <v>2</v>
      </c>
      <c r="I38" s="168"/>
      <c r="J38" s="168"/>
      <c r="K38" s="169"/>
      <c r="M38" s="143" t="s">
        <v>601</v>
      </c>
      <c r="N38" s="144" t="s">
        <v>611</v>
      </c>
      <c r="O38" s="144" t="s">
        <v>618</v>
      </c>
      <c r="P38" s="144" t="s">
        <v>545</v>
      </c>
      <c r="Q38" s="144" t="s">
        <v>630</v>
      </c>
      <c r="R38" s="145" t="s">
        <v>637</v>
      </c>
      <c r="T38" s="72">
        <v>2.8</v>
      </c>
      <c r="U38" s="82">
        <v>2.8</v>
      </c>
      <c r="V38" s="82">
        <v>2.8</v>
      </c>
      <c r="W38" s="82">
        <v>2.8</v>
      </c>
      <c r="X38" s="82">
        <v>2.8</v>
      </c>
      <c r="Y38" s="82">
        <v>2.8</v>
      </c>
      <c r="Z38" s="82">
        <v>2.8</v>
      </c>
      <c r="AA38" s="82">
        <v>2.8</v>
      </c>
      <c r="AB38" s="82">
        <v>2.8</v>
      </c>
      <c r="AC38" s="82">
        <v>2.8</v>
      </c>
      <c r="AD38" s="82">
        <v>2.8</v>
      </c>
      <c r="AE38" s="82">
        <v>2.8</v>
      </c>
      <c r="AF38" s="82">
        <v>2.8</v>
      </c>
      <c r="AG38" s="82">
        <v>5</v>
      </c>
      <c r="AH38" s="82">
        <v>5</v>
      </c>
      <c r="AI38" s="82">
        <v>5</v>
      </c>
      <c r="AJ38" s="82">
        <v>5</v>
      </c>
      <c r="AK38" s="82">
        <v>5</v>
      </c>
      <c r="AL38" s="82">
        <v>5</v>
      </c>
      <c r="AM38" s="82">
        <v>5</v>
      </c>
      <c r="AN38" s="82">
        <v>5</v>
      </c>
      <c r="AO38" s="82">
        <v>5</v>
      </c>
      <c r="AP38" s="82">
        <v>5</v>
      </c>
      <c r="AQ38" s="82">
        <v>5</v>
      </c>
      <c r="AR38" s="82">
        <v>5</v>
      </c>
      <c r="AS38" s="33">
        <v>5</v>
      </c>
    </row>
    <row r="39" spans="1:45" x14ac:dyDescent="0.2">
      <c r="A39" s="252"/>
      <c r="B39" s="247" t="str">
        <f t="shared" si="0"/>
        <v>5.11.3 / 7.12.2</v>
      </c>
      <c r="C39" s="247"/>
      <c r="D39" s="16" t="s">
        <v>31</v>
      </c>
      <c r="E39" s="15">
        <f t="shared" si="1"/>
        <v>3.1</v>
      </c>
      <c r="F39" s="15">
        <f t="shared" si="2"/>
        <v>5</v>
      </c>
      <c r="G39" s="16" t="s">
        <v>21</v>
      </c>
      <c r="H39" s="16">
        <v>2</v>
      </c>
      <c r="I39" s="168"/>
      <c r="J39" s="168"/>
      <c r="K39" s="169"/>
      <c r="M39" s="143" t="s">
        <v>601</v>
      </c>
      <c r="N39" s="144" t="s">
        <v>611</v>
      </c>
      <c r="O39" s="144" t="s">
        <v>618</v>
      </c>
      <c r="P39" s="144" t="s">
        <v>545</v>
      </c>
      <c r="Q39" s="144" t="s">
        <v>630</v>
      </c>
      <c r="R39" s="145" t="s">
        <v>637</v>
      </c>
      <c r="T39" s="72">
        <v>3.1</v>
      </c>
      <c r="U39" s="82">
        <v>3.1</v>
      </c>
      <c r="V39" s="82">
        <v>3.1</v>
      </c>
      <c r="W39" s="82">
        <v>3.1</v>
      </c>
      <c r="X39" s="82">
        <v>3.1</v>
      </c>
      <c r="Y39" s="82">
        <v>3.1</v>
      </c>
      <c r="Z39" s="82">
        <v>3.1</v>
      </c>
      <c r="AA39" s="82">
        <v>3.1</v>
      </c>
      <c r="AB39" s="82">
        <v>3.1</v>
      </c>
      <c r="AC39" s="82">
        <v>3.1</v>
      </c>
      <c r="AD39" s="82">
        <v>3.1</v>
      </c>
      <c r="AE39" s="82">
        <v>3.1</v>
      </c>
      <c r="AF39" s="82">
        <v>3.1</v>
      </c>
      <c r="AG39" s="82">
        <v>5</v>
      </c>
      <c r="AH39" s="82">
        <v>5</v>
      </c>
      <c r="AI39" s="82">
        <v>5</v>
      </c>
      <c r="AJ39" s="82">
        <v>5</v>
      </c>
      <c r="AK39" s="82">
        <v>5</v>
      </c>
      <c r="AL39" s="82">
        <v>5</v>
      </c>
      <c r="AM39" s="82">
        <v>5</v>
      </c>
      <c r="AN39" s="82">
        <v>5</v>
      </c>
      <c r="AO39" s="82">
        <v>5</v>
      </c>
      <c r="AP39" s="82">
        <v>5</v>
      </c>
      <c r="AQ39" s="82">
        <v>5</v>
      </c>
      <c r="AR39" s="82">
        <v>5</v>
      </c>
      <c r="AS39" s="33">
        <v>5</v>
      </c>
    </row>
    <row r="40" spans="1:45" x14ac:dyDescent="0.2">
      <c r="A40" s="252"/>
      <c r="B40" s="247" t="str">
        <f t="shared" si="0"/>
        <v>5.11.3 / 7.12.2</v>
      </c>
      <c r="C40" s="247"/>
      <c r="D40" s="16" t="s">
        <v>36</v>
      </c>
      <c r="E40" s="15">
        <f t="shared" si="1"/>
        <v>3.1</v>
      </c>
      <c r="F40" s="15">
        <f t="shared" si="2"/>
        <v>5</v>
      </c>
      <c r="G40" s="16" t="s">
        <v>21</v>
      </c>
      <c r="H40" s="16">
        <v>2</v>
      </c>
      <c r="I40" s="168"/>
      <c r="J40" s="168"/>
      <c r="K40" s="169"/>
      <c r="M40" s="143" t="s">
        <v>601</v>
      </c>
      <c r="N40" s="144" t="s">
        <v>611</v>
      </c>
      <c r="O40" s="144" t="s">
        <v>618</v>
      </c>
      <c r="P40" s="144" t="s">
        <v>545</v>
      </c>
      <c r="Q40" s="144" t="s">
        <v>630</v>
      </c>
      <c r="R40" s="145" t="s">
        <v>637</v>
      </c>
      <c r="T40" s="72">
        <v>3.1</v>
      </c>
      <c r="U40" s="82">
        <v>3.1</v>
      </c>
      <c r="V40" s="82">
        <v>3.1</v>
      </c>
      <c r="W40" s="82">
        <v>3.1</v>
      </c>
      <c r="X40" s="82">
        <v>3.1</v>
      </c>
      <c r="Y40" s="82">
        <v>3.1</v>
      </c>
      <c r="Z40" s="82">
        <v>3.1</v>
      </c>
      <c r="AA40" s="82">
        <v>3.1</v>
      </c>
      <c r="AB40" s="82">
        <v>3.1</v>
      </c>
      <c r="AC40" s="82">
        <v>3.1</v>
      </c>
      <c r="AD40" s="82">
        <v>3.1</v>
      </c>
      <c r="AE40" s="82">
        <v>3.1</v>
      </c>
      <c r="AF40" s="82">
        <v>3.1</v>
      </c>
      <c r="AG40" s="82">
        <v>5</v>
      </c>
      <c r="AH40" s="82">
        <v>5</v>
      </c>
      <c r="AI40" s="82">
        <v>5</v>
      </c>
      <c r="AJ40" s="82">
        <v>5</v>
      </c>
      <c r="AK40" s="82">
        <v>5</v>
      </c>
      <c r="AL40" s="82">
        <v>5</v>
      </c>
      <c r="AM40" s="82">
        <v>5</v>
      </c>
      <c r="AN40" s="82">
        <v>5</v>
      </c>
      <c r="AO40" s="82">
        <v>5</v>
      </c>
      <c r="AP40" s="82">
        <v>5</v>
      </c>
      <c r="AQ40" s="82">
        <v>5</v>
      </c>
      <c r="AR40" s="82">
        <v>5</v>
      </c>
      <c r="AS40" s="33">
        <v>5</v>
      </c>
    </row>
    <row r="41" spans="1:45" x14ac:dyDescent="0.2">
      <c r="A41" s="252"/>
      <c r="B41" s="247" t="str">
        <f t="shared" si="0"/>
        <v>5.11.3 / 7.12.2</v>
      </c>
      <c r="C41" s="247"/>
      <c r="D41" s="16" t="s">
        <v>32</v>
      </c>
      <c r="E41" s="15">
        <f t="shared" si="1"/>
        <v>3.2</v>
      </c>
      <c r="F41" s="15">
        <f t="shared" si="2"/>
        <v>5</v>
      </c>
      <c r="G41" s="16" t="s">
        <v>21</v>
      </c>
      <c r="H41" s="16">
        <v>2</v>
      </c>
      <c r="I41" s="168"/>
      <c r="J41" s="168"/>
      <c r="K41" s="169"/>
      <c r="M41" s="143" t="s">
        <v>601</v>
      </c>
      <c r="N41" s="144" t="s">
        <v>611</v>
      </c>
      <c r="O41" s="144" t="s">
        <v>618</v>
      </c>
      <c r="P41" s="144" t="s">
        <v>545</v>
      </c>
      <c r="Q41" s="144" t="s">
        <v>630</v>
      </c>
      <c r="R41" s="145" t="s">
        <v>637</v>
      </c>
      <c r="T41" s="72">
        <v>3.2</v>
      </c>
      <c r="U41" s="82">
        <v>3.2</v>
      </c>
      <c r="V41" s="82">
        <v>3.2</v>
      </c>
      <c r="W41" s="82">
        <v>3.2</v>
      </c>
      <c r="X41" s="82">
        <v>3.2</v>
      </c>
      <c r="Y41" s="82">
        <v>3.2</v>
      </c>
      <c r="Z41" s="82">
        <v>3.2</v>
      </c>
      <c r="AA41" s="82">
        <v>3.2</v>
      </c>
      <c r="AB41" s="82">
        <v>3.2</v>
      </c>
      <c r="AC41" s="82">
        <v>3.2</v>
      </c>
      <c r="AD41" s="82">
        <v>3.2</v>
      </c>
      <c r="AE41" s="82">
        <v>3.2</v>
      </c>
      <c r="AF41" s="82">
        <v>3.2</v>
      </c>
      <c r="AG41" s="82">
        <v>5</v>
      </c>
      <c r="AH41" s="82">
        <v>5</v>
      </c>
      <c r="AI41" s="82">
        <v>5</v>
      </c>
      <c r="AJ41" s="82">
        <v>5</v>
      </c>
      <c r="AK41" s="82">
        <v>5</v>
      </c>
      <c r="AL41" s="82">
        <v>5</v>
      </c>
      <c r="AM41" s="82">
        <v>5</v>
      </c>
      <c r="AN41" s="82">
        <v>5</v>
      </c>
      <c r="AO41" s="82">
        <v>5</v>
      </c>
      <c r="AP41" s="82">
        <v>5</v>
      </c>
      <c r="AQ41" s="82">
        <v>5</v>
      </c>
      <c r="AR41" s="82">
        <v>5</v>
      </c>
      <c r="AS41" s="33">
        <v>5</v>
      </c>
    </row>
    <row r="42" spans="1:45" x14ac:dyDescent="0.2">
      <c r="A42" s="252"/>
      <c r="B42" s="247" t="str">
        <f t="shared" si="0"/>
        <v>5.11.3 / 7.12.2</v>
      </c>
      <c r="C42" s="247"/>
      <c r="D42" s="16" t="s">
        <v>33</v>
      </c>
      <c r="E42" s="15">
        <f t="shared" si="1"/>
        <v>3.1</v>
      </c>
      <c r="F42" s="15">
        <f t="shared" si="2"/>
        <v>5</v>
      </c>
      <c r="G42" s="16" t="s">
        <v>21</v>
      </c>
      <c r="H42" s="16">
        <v>2</v>
      </c>
      <c r="I42" s="168"/>
      <c r="J42" s="168"/>
      <c r="K42" s="169"/>
      <c r="M42" s="143" t="s">
        <v>601</v>
      </c>
      <c r="N42" s="144" t="s">
        <v>611</v>
      </c>
      <c r="O42" s="144" t="s">
        <v>618</v>
      </c>
      <c r="P42" s="144" t="s">
        <v>545</v>
      </c>
      <c r="Q42" s="144" t="s">
        <v>630</v>
      </c>
      <c r="R42" s="145" t="s">
        <v>637</v>
      </c>
      <c r="T42" s="72">
        <v>3.1</v>
      </c>
      <c r="U42" s="82">
        <v>3.1</v>
      </c>
      <c r="V42" s="82">
        <v>3.1</v>
      </c>
      <c r="W42" s="82">
        <v>3.1</v>
      </c>
      <c r="X42" s="82">
        <v>3.1</v>
      </c>
      <c r="Y42" s="82">
        <v>3.1</v>
      </c>
      <c r="Z42" s="82">
        <v>3.1</v>
      </c>
      <c r="AA42" s="82">
        <v>3.1</v>
      </c>
      <c r="AB42" s="82">
        <v>3.1</v>
      </c>
      <c r="AC42" s="82">
        <v>3.1</v>
      </c>
      <c r="AD42" s="82">
        <v>3.1</v>
      </c>
      <c r="AE42" s="82">
        <v>3.1</v>
      </c>
      <c r="AF42" s="82">
        <v>3.1</v>
      </c>
      <c r="AG42" s="82">
        <v>5</v>
      </c>
      <c r="AH42" s="82">
        <v>5</v>
      </c>
      <c r="AI42" s="82">
        <v>5</v>
      </c>
      <c r="AJ42" s="82">
        <v>5</v>
      </c>
      <c r="AK42" s="82">
        <v>5</v>
      </c>
      <c r="AL42" s="82">
        <v>5</v>
      </c>
      <c r="AM42" s="82">
        <v>5</v>
      </c>
      <c r="AN42" s="82">
        <v>5</v>
      </c>
      <c r="AO42" s="82">
        <v>5</v>
      </c>
      <c r="AP42" s="82">
        <v>5</v>
      </c>
      <c r="AQ42" s="82">
        <v>5</v>
      </c>
      <c r="AR42" s="82">
        <v>5</v>
      </c>
      <c r="AS42" s="33">
        <v>5</v>
      </c>
    </row>
    <row r="43" spans="1:45" x14ac:dyDescent="0.2">
      <c r="A43" s="252"/>
      <c r="B43" s="247" t="str">
        <f t="shared" si="0"/>
        <v>5.11.3 / 7.12.2</v>
      </c>
      <c r="C43" s="247"/>
      <c r="D43" s="16" t="s">
        <v>34</v>
      </c>
      <c r="E43" s="15">
        <f t="shared" si="1"/>
        <v>3.1</v>
      </c>
      <c r="F43" s="15">
        <f t="shared" si="2"/>
        <v>5</v>
      </c>
      <c r="G43" s="16" t="s">
        <v>21</v>
      </c>
      <c r="H43" s="16">
        <v>2</v>
      </c>
      <c r="I43" s="168"/>
      <c r="J43" s="168"/>
      <c r="K43" s="169"/>
      <c r="M43" s="143" t="s">
        <v>601</v>
      </c>
      <c r="N43" s="144" t="s">
        <v>611</v>
      </c>
      <c r="O43" s="144" t="s">
        <v>618</v>
      </c>
      <c r="P43" s="144" t="s">
        <v>545</v>
      </c>
      <c r="Q43" s="144" t="s">
        <v>630</v>
      </c>
      <c r="R43" s="145" t="s">
        <v>637</v>
      </c>
      <c r="T43" s="72">
        <v>3.1</v>
      </c>
      <c r="U43" s="82">
        <v>3.1</v>
      </c>
      <c r="V43" s="82">
        <v>3.1</v>
      </c>
      <c r="W43" s="82">
        <v>3.1</v>
      </c>
      <c r="X43" s="82">
        <v>3.1</v>
      </c>
      <c r="Y43" s="82">
        <v>3.1</v>
      </c>
      <c r="Z43" s="82">
        <v>3.1</v>
      </c>
      <c r="AA43" s="82">
        <v>3.1</v>
      </c>
      <c r="AB43" s="82">
        <v>3.1</v>
      </c>
      <c r="AC43" s="82">
        <v>3.1</v>
      </c>
      <c r="AD43" s="82">
        <v>3.1</v>
      </c>
      <c r="AE43" s="82">
        <v>3.1</v>
      </c>
      <c r="AF43" s="82">
        <v>3.1</v>
      </c>
      <c r="AG43" s="82">
        <v>5</v>
      </c>
      <c r="AH43" s="82">
        <v>5</v>
      </c>
      <c r="AI43" s="82">
        <v>5</v>
      </c>
      <c r="AJ43" s="82">
        <v>5</v>
      </c>
      <c r="AK43" s="82">
        <v>5</v>
      </c>
      <c r="AL43" s="82">
        <v>5</v>
      </c>
      <c r="AM43" s="82">
        <v>5</v>
      </c>
      <c r="AN43" s="82">
        <v>5</v>
      </c>
      <c r="AO43" s="82">
        <v>5</v>
      </c>
      <c r="AP43" s="82">
        <v>5</v>
      </c>
      <c r="AQ43" s="82">
        <v>5</v>
      </c>
      <c r="AR43" s="82">
        <v>5</v>
      </c>
      <c r="AS43" s="33">
        <v>5</v>
      </c>
    </row>
    <row r="44" spans="1:45" x14ac:dyDescent="0.2">
      <c r="A44" s="252"/>
      <c r="B44" s="247" t="str">
        <f t="shared" si="0"/>
        <v>5.11.3 / 7.12.2</v>
      </c>
      <c r="C44" s="247"/>
      <c r="D44" s="16" t="s">
        <v>35</v>
      </c>
      <c r="E44" s="15">
        <f t="shared" si="1"/>
        <v>3.3</v>
      </c>
      <c r="F44" s="15">
        <f t="shared" si="2"/>
        <v>5</v>
      </c>
      <c r="G44" s="16" t="s">
        <v>21</v>
      </c>
      <c r="H44" s="16">
        <v>2</v>
      </c>
      <c r="I44" s="168"/>
      <c r="J44" s="168"/>
      <c r="K44" s="169"/>
      <c r="M44" s="143" t="s">
        <v>601</v>
      </c>
      <c r="N44" s="144" t="s">
        <v>611</v>
      </c>
      <c r="O44" s="144" t="s">
        <v>618</v>
      </c>
      <c r="P44" s="144" t="s">
        <v>545</v>
      </c>
      <c r="Q44" s="144" t="s">
        <v>630</v>
      </c>
      <c r="R44" s="145" t="s">
        <v>637</v>
      </c>
      <c r="T44" s="72">
        <v>3.3</v>
      </c>
      <c r="U44" s="82">
        <v>3.3</v>
      </c>
      <c r="V44" s="82">
        <v>3.3</v>
      </c>
      <c r="W44" s="82">
        <v>3.3</v>
      </c>
      <c r="X44" s="82">
        <v>3.3</v>
      </c>
      <c r="Y44" s="82">
        <v>3.3</v>
      </c>
      <c r="Z44" s="82">
        <v>3.3</v>
      </c>
      <c r="AA44" s="82">
        <v>3.3</v>
      </c>
      <c r="AB44" s="82">
        <v>3.3</v>
      </c>
      <c r="AC44" s="82">
        <v>3.3</v>
      </c>
      <c r="AD44" s="82">
        <v>3.3</v>
      </c>
      <c r="AE44" s="82">
        <v>3.3</v>
      </c>
      <c r="AF44" s="82">
        <v>3.3</v>
      </c>
      <c r="AG44" s="82">
        <v>5</v>
      </c>
      <c r="AH44" s="82">
        <v>5</v>
      </c>
      <c r="AI44" s="82">
        <v>5</v>
      </c>
      <c r="AJ44" s="82">
        <v>5</v>
      </c>
      <c r="AK44" s="82">
        <v>5</v>
      </c>
      <c r="AL44" s="82">
        <v>5</v>
      </c>
      <c r="AM44" s="82">
        <v>5</v>
      </c>
      <c r="AN44" s="82">
        <v>5</v>
      </c>
      <c r="AO44" s="82">
        <v>5</v>
      </c>
      <c r="AP44" s="82">
        <v>5</v>
      </c>
      <c r="AQ44" s="82">
        <v>5</v>
      </c>
      <c r="AR44" s="82">
        <v>5</v>
      </c>
      <c r="AS44" s="33">
        <v>5</v>
      </c>
    </row>
    <row r="45" spans="1:45" x14ac:dyDescent="0.2">
      <c r="A45" s="252"/>
      <c r="B45" s="247" t="str">
        <f t="shared" si="0"/>
        <v>5.11.3 / 7.12.2</v>
      </c>
      <c r="C45" s="247" t="s">
        <v>38</v>
      </c>
      <c r="D45" s="16" t="s">
        <v>29</v>
      </c>
      <c r="E45" s="15">
        <f t="shared" si="1"/>
        <v>1.8</v>
      </c>
      <c r="F45" s="15">
        <f t="shared" si="2"/>
        <v>5</v>
      </c>
      <c r="G45" s="16" t="s">
        <v>21</v>
      </c>
      <c r="H45" s="16">
        <v>2</v>
      </c>
      <c r="I45" s="168"/>
      <c r="J45" s="168"/>
      <c r="K45" s="169"/>
      <c r="M45" s="143" t="s">
        <v>601</v>
      </c>
      <c r="N45" s="144" t="s">
        <v>611</v>
      </c>
      <c r="O45" s="144" t="s">
        <v>618</v>
      </c>
      <c r="P45" s="144" t="s">
        <v>545</v>
      </c>
      <c r="Q45" s="144" t="s">
        <v>630</v>
      </c>
      <c r="R45" s="145" t="s">
        <v>637</v>
      </c>
      <c r="T45" s="72">
        <v>1.8</v>
      </c>
      <c r="U45" s="82">
        <v>1.8</v>
      </c>
      <c r="V45" s="82">
        <v>1.8</v>
      </c>
      <c r="W45" s="82">
        <v>1.8</v>
      </c>
      <c r="X45" s="82">
        <v>1.8</v>
      </c>
      <c r="Y45" s="82">
        <v>1.8</v>
      </c>
      <c r="Z45" s="82">
        <v>1.8</v>
      </c>
      <c r="AA45" s="82">
        <v>1.8</v>
      </c>
      <c r="AB45" s="82">
        <v>1.8</v>
      </c>
      <c r="AC45" s="82">
        <v>1.8</v>
      </c>
      <c r="AD45" s="82">
        <v>1.8</v>
      </c>
      <c r="AE45" s="82">
        <v>1.8</v>
      </c>
      <c r="AF45" s="82">
        <v>1.8</v>
      </c>
      <c r="AG45" s="82">
        <v>5</v>
      </c>
      <c r="AH45" s="82">
        <v>5</v>
      </c>
      <c r="AI45" s="82">
        <v>5</v>
      </c>
      <c r="AJ45" s="82">
        <v>5</v>
      </c>
      <c r="AK45" s="82">
        <v>5</v>
      </c>
      <c r="AL45" s="82">
        <v>5</v>
      </c>
      <c r="AM45" s="82">
        <v>5</v>
      </c>
      <c r="AN45" s="82">
        <v>5</v>
      </c>
      <c r="AO45" s="82">
        <v>5</v>
      </c>
      <c r="AP45" s="82">
        <v>5</v>
      </c>
      <c r="AQ45" s="82">
        <v>5</v>
      </c>
      <c r="AR45" s="82">
        <v>5</v>
      </c>
      <c r="AS45" s="33">
        <v>5</v>
      </c>
    </row>
    <row r="46" spans="1:45" x14ac:dyDescent="0.2">
      <c r="A46" s="252"/>
      <c r="B46" s="247" t="str">
        <f t="shared" si="0"/>
        <v>5.11.3 / 7.12.2</v>
      </c>
      <c r="C46" s="247"/>
      <c r="D46" s="16" t="s">
        <v>30</v>
      </c>
      <c r="E46" s="15">
        <f t="shared" si="1"/>
        <v>1.9</v>
      </c>
      <c r="F46" s="15">
        <f t="shared" si="2"/>
        <v>5</v>
      </c>
      <c r="G46" s="16" t="s">
        <v>21</v>
      </c>
      <c r="H46" s="16">
        <v>2</v>
      </c>
      <c r="I46" s="168"/>
      <c r="J46" s="168"/>
      <c r="K46" s="169"/>
      <c r="M46" s="143" t="s">
        <v>601</v>
      </c>
      <c r="N46" s="144" t="s">
        <v>611</v>
      </c>
      <c r="O46" s="144" t="s">
        <v>618</v>
      </c>
      <c r="P46" s="144" t="s">
        <v>545</v>
      </c>
      <c r="Q46" s="144" t="s">
        <v>630</v>
      </c>
      <c r="R46" s="145" t="s">
        <v>637</v>
      </c>
      <c r="T46" s="72">
        <v>1.9</v>
      </c>
      <c r="U46" s="82">
        <v>1.9</v>
      </c>
      <c r="V46" s="82">
        <v>1.9</v>
      </c>
      <c r="W46" s="82">
        <v>1.9</v>
      </c>
      <c r="X46" s="82">
        <v>1.9</v>
      </c>
      <c r="Y46" s="82">
        <v>1.9</v>
      </c>
      <c r="Z46" s="82">
        <v>1.9</v>
      </c>
      <c r="AA46" s="82">
        <v>1.9</v>
      </c>
      <c r="AB46" s="82">
        <v>1.9</v>
      </c>
      <c r="AC46" s="82">
        <v>1.9</v>
      </c>
      <c r="AD46" s="82">
        <v>1.9</v>
      </c>
      <c r="AE46" s="82">
        <v>1.9</v>
      </c>
      <c r="AF46" s="82">
        <v>1.9</v>
      </c>
      <c r="AG46" s="82">
        <v>5</v>
      </c>
      <c r="AH46" s="82">
        <v>5</v>
      </c>
      <c r="AI46" s="82">
        <v>5</v>
      </c>
      <c r="AJ46" s="82">
        <v>5</v>
      </c>
      <c r="AK46" s="82">
        <v>5</v>
      </c>
      <c r="AL46" s="82">
        <v>5</v>
      </c>
      <c r="AM46" s="82">
        <v>5</v>
      </c>
      <c r="AN46" s="82">
        <v>5</v>
      </c>
      <c r="AO46" s="82">
        <v>5</v>
      </c>
      <c r="AP46" s="82">
        <v>5</v>
      </c>
      <c r="AQ46" s="82">
        <v>5</v>
      </c>
      <c r="AR46" s="82">
        <v>5</v>
      </c>
      <c r="AS46" s="33">
        <v>5</v>
      </c>
    </row>
    <row r="47" spans="1:45" x14ac:dyDescent="0.2">
      <c r="A47" s="252"/>
      <c r="B47" s="247" t="str">
        <f t="shared" si="0"/>
        <v>5.11.3 / 7.12.2</v>
      </c>
      <c r="C47" s="247"/>
      <c r="D47" s="16" t="s">
        <v>31</v>
      </c>
      <c r="E47" s="15">
        <f t="shared" si="1"/>
        <v>2.4</v>
      </c>
      <c r="F47" s="15">
        <f t="shared" si="2"/>
        <v>5</v>
      </c>
      <c r="G47" s="16" t="s">
        <v>21</v>
      </c>
      <c r="H47" s="16">
        <v>2</v>
      </c>
      <c r="I47" s="168"/>
      <c r="J47" s="168"/>
      <c r="K47" s="169"/>
      <c r="M47" s="143" t="s">
        <v>601</v>
      </c>
      <c r="N47" s="144" t="s">
        <v>611</v>
      </c>
      <c r="O47" s="144" t="s">
        <v>618</v>
      </c>
      <c r="P47" s="144" t="s">
        <v>545</v>
      </c>
      <c r="Q47" s="144" t="s">
        <v>630</v>
      </c>
      <c r="R47" s="145" t="s">
        <v>637</v>
      </c>
      <c r="T47" s="72">
        <v>2.4</v>
      </c>
      <c r="U47" s="82">
        <v>2.4</v>
      </c>
      <c r="V47" s="82">
        <v>2.4</v>
      </c>
      <c r="W47" s="82">
        <v>2.4</v>
      </c>
      <c r="X47" s="82">
        <v>2.4</v>
      </c>
      <c r="Y47" s="82">
        <v>2.4</v>
      </c>
      <c r="Z47" s="82">
        <v>2.4</v>
      </c>
      <c r="AA47" s="82">
        <v>2.4</v>
      </c>
      <c r="AB47" s="82">
        <v>2.4</v>
      </c>
      <c r="AC47" s="82">
        <v>2.4</v>
      </c>
      <c r="AD47" s="82">
        <v>2.4</v>
      </c>
      <c r="AE47" s="82">
        <v>2.4</v>
      </c>
      <c r="AF47" s="82">
        <v>2.4</v>
      </c>
      <c r="AG47" s="82">
        <v>5</v>
      </c>
      <c r="AH47" s="82">
        <v>5</v>
      </c>
      <c r="AI47" s="82">
        <v>5</v>
      </c>
      <c r="AJ47" s="82">
        <v>5</v>
      </c>
      <c r="AK47" s="82">
        <v>5</v>
      </c>
      <c r="AL47" s="82">
        <v>5</v>
      </c>
      <c r="AM47" s="82">
        <v>5</v>
      </c>
      <c r="AN47" s="82">
        <v>5</v>
      </c>
      <c r="AO47" s="82">
        <v>5</v>
      </c>
      <c r="AP47" s="82">
        <v>5</v>
      </c>
      <c r="AQ47" s="82">
        <v>5</v>
      </c>
      <c r="AR47" s="82">
        <v>5</v>
      </c>
      <c r="AS47" s="33">
        <v>5</v>
      </c>
    </row>
    <row r="48" spans="1:45" x14ac:dyDescent="0.2">
      <c r="A48" s="252"/>
      <c r="B48" s="247" t="str">
        <f t="shared" si="0"/>
        <v>5.11.3 / 7.12.2</v>
      </c>
      <c r="C48" s="247"/>
      <c r="D48" s="16" t="s">
        <v>36</v>
      </c>
      <c r="E48" s="15">
        <f t="shared" si="1"/>
        <v>2.4</v>
      </c>
      <c r="F48" s="15">
        <f t="shared" si="2"/>
        <v>5</v>
      </c>
      <c r="G48" s="16" t="s">
        <v>21</v>
      </c>
      <c r="H48" s="16">
        <v>2</v>
      </c>
      <c r="I48" s="168"/>
      <c r="J48" s="168"/>
      <c r="K48" s="169"/>
      <c r="M48" s="143" t="s">
        <v>601</v>
      </c>
      <c r="N48" s="144" t="s">
        <v>611</v>
      </c>
      <c r="O48" s="144" t="s">
        <v>618</v>
      </c>
      <c r="P48" s="144" t="s">
        <v>545</v>
      </c>
      <c r="Q48" s="144" t="s">
        <v>630</v>
      </c>
      <c r="R48" s="145" t="s">
        <v>637</v>
      </c>
      <c r="T48" s="72">
        <v>2.4</v>
      </c>
      <c r="U48" s="82">
        <v>2.4</v>
      </c>
      <c r="V48" s="82">
        <v>2.4</v>
      </c>
      <c r="W48" s="82">
        <v>2.4</v>
      </c>
      <c r="X48" s="82">
        <v>2.4</v>
      </c>
      <c r="Y48" s="82">
        <v>2.4</v>
      </c>
      <c r="Z48" s="82">
        <v>2.4</v>
      </c>
      <c r="AA48" s="82">
        <v>2.4</v>
      </c>
      <c r="AB48" s="82">
        <v>2.4</v>
      </c>
      <c r="AC48" s="82">
        <v>2.4</v>
      </c>
      <c r="AD48" s="82">
        <v>2.4</v>
      </c>
      <c r="AE48" s="82">
        <v>2.4</v>
      </c>
      <c r="AF48" s="82">
        <v>2.4</v>
      </c>
      <c r="AG48" s="82">
        <v>5</v>
      </c>
      <c r="AH48" s="82">
        <v>5</v>
      </c>
      <c r="AI48" s="82">
        <v>5</v>
      </c>
      <c r="AJ48" s="82">
        <v>5</v>
      </c>
      <c r="AK48" s="82">
        <v>5</v>
      </c>
      <c r="AL48" s="82">
        <v>5</v>
      </c>
      <c r="AM48" s="82">
        <v>5</v>
      </c>
      <c r="AN48" s="82">
        <v>5</v>
      </c>
      <c r="AO48" s="82">
        <v>5</v>
      </c>
      <c r="AP48" s="82">
        <v>5</v>
      </c>
      <c r="AQ48" s="82">
        <v>5</v>
      </c>
      <c r="AR48" s="82">
        <v>5</v>
      </c>
      <c r="AS48" s="33">
        <v>5</v>
      </c>
    </row>
    <row r="49" spans="1:45" x14ac:dyDescent="0.2">
      <c r="A49" s="252"/>
      <c r="B49" s="247" t="str">
        <f t="shared" si="0"/>
        <v>5.11.3 / 7.12.2</v>
      </c>
      <c r="C49" s="247"/>
      <c r="D49" s="16" t="s">
        <v>32</v>
      </c>
      <c r="E49" s="15">
        <f t="shared" si="1"/>
        <v>2.4</v>
      </c>
      <c r="F49" s="15">
        <f t="shared" si="2"/>
        <v>5</v>
      </c>
      <c r="G49" s="16" t="s">
        <v>21</v>
      </c>
      <c r="H49" s="16">
        <v>2</v>
      </c>
      <c r="I49" s="168"/>
      <c r="J49" s="168"/>
      <c r="K49" s="169"/>
      <c r="M49" s="143" t="s">
        <v>601</v>
      </c>
      <c r="N49" s="144" t="s">
        <v>611</v>
      </c>
      <c r="O49" s="144" t="s">
        <v>618</v>
      </c>
      <c r="P49" s="144" t="s">
        <v>545</v>
      </c>
      <c r="Q49" s="144" t="s">
        <v>630</v>
      </c>
      <c r="R49" s="145" t="s">
        <v>637</v>
      </c>
      <c r="T49" s="72">
        <v>2.4</v>
      </c>
      <c r="U49" s="82">
        <v>2.4</v>
      </c>
      <c r="V49" s="82">
        <v>2.4</v>
      </c>
      <c r="W49" s="82">
        <v>2.4</v>
      </c>
      <c r="X49" s="82">
        <v>2.4</v>
      </c>
      <c r="Y49" s="82">
        <v>2.4</v>
      </c>
      <c r="Z49" s="82">
        <v>2.4</v>
      </c>
      <c r="AA49" s="82">
        <v>2.4</v>
      </c>
      <c r="AB49" s="82">
        <v>2.4</v>
      </c>
      <c r="AC49" s="82">
        <v>2.4</v>
      </c>
      <c r="AD49" s="82">
        <v>2.4</v>
      </c>
      <c r="AE49" s="82">
        <v>2.4</v>
      </c>
      <c r="AF49" s="82">
        <v>2.4</v>
      </c>
      <c r="AG49" s="82">
        <v>5</v>
      </c>
      <c r="AH49" s="82">
        <v>5</v>
      </c>
      <c r="AI49" s="82">
        <v>5</v>
      </c>
      <c r="AJ49" s="82">
        <v>5</v>
      </c>
      <c r="AK49" s="82">
        <v>5</v>
      </c>
      <c r="AL49" s="82">
        <v>5</v>
      </c>
      <c r="AM49" s="82">
        <v>5</v>
      </c>
      <c r="AN49" s="82">
        <v>5</v>
      </c>
      <c r="AO49" s="82">
        <v>5</v>
      </c>
      <c r="AP49" s="82">
        <v>5</v>
      </c>
      <c r="AQ49" s="82">
        <v>5</v>
      </c>
      <c r="AR49" s="82">
        <v>5</v>
      </c>
      <c r="AS49" s="33">
        <v>5</v>
      </c>
    </row>
    <row r="50" spans="1:45" x14ac:dyDescent="0.2">
      <c r="A50" s="252"/>
      <c r="B50" s="247" t="str">
        <f t="shared" si="0"/>
        <v>5.11.3 / 7.12.2</v>
      </c>
      <c r="C50" s="247"/>
      <c r="D50" s="16" t="s">
        <v>33</v>
      </c>
      <c r="E50" s="15">
        <f t="shared" si="1"/>
        <v>2.4</v>
      </c>
      <c r="F50" s="15">
        <f t="shared" si="2"/>
        <v>5</v>
      </c>
      <c r="G50" s="16" t="s">
        <v>21</v>
      </c>
      <c r="H50" s="16">
        <v>2</v>
      </c>
      <c r="I50" s="168"/>
      <c r="J50" s="168"/>
      <c r="K50" s="169"/>
      <c r="M50" s="143" t="s">
        <v>601</v>
      </c>
      <c r="N50" s="144" t="s">
        <v>611</v>
      </c>
      <c r="O50" s="144" t="s">
        <v>618</v>
      </c>
      <c r="P50" s="144" t="s">
        <v>545</v>
      </c>
      <c r="Q50" s="144" t="s">
        <v>630</v>
      </c>
      <c r="R50" s="145" t="s">
        <v>637</v>
      </c>
      <c r="T50" s="72">
        <v>2.4</v>
      </c>
      <c r="U50" s="82">
        <v>2.4</v>
      </c>
      <c r="V50" s="82">
        <v>2.4</v>
      </c>
      <c r="W50" s="82">
        <v>2.4</v>
      </c>
      <c r="X50" s="82">
        <v>2.4</v>
      </c>
      <c r="Y50" s="82">
        <v>2.4</v>
      </c>
      <c r="Z50" s="82">
        <v>2.4</v>
      </c>
      <c r="AA50" s="82">
        <v>2.4</v>
      </c>
      <c r="AB50" s="82">
        <v>2.4</v>
      </c>
      <c r="AC50" s="82">
        <v>2.4</v>
      </c>
      <c r="AD50" s="82">
        <v>2.4</v>
      </c>
      <c r="AE50" s="82">
        <v>2.4</v>
      </c>
      <c r="AF50" s="82">
        <v>2.4</v>
      </c>
      <c r="AG50" s="82">
        <v>5</v>
      </c>
      <c r="AH50" s="82">
        <v>5</v>
      </c>
      <c r="AI50" s="82">
        <v>5</v>
      </c>
      <c r="AJ50" s="82">
        <v>5</v>
      </c>
      <c r="AK50" s="82">
        <v>5</v>
      </c>
      <c r="AL50" s="82">
        <v>5</v>
      </c>
      <c r="AM50" s="82">
        <v>5</v>
      </c>
      <c r="AN50" s="82">
        <v>5</v>
      </c>
      <c r="AO50" s="82">
        <v>5</v>
      </c>
      <c r="AP50" s="82">
        <v>5</v>
      </c>
      <c r="AQ50" s="82">
        <v>5</v>
      </c>
      <c r="AR50" s="82">
        <v>5</v>
      </c>
      <c r="AS50" s="33">
        <v>5</v>
      </c>
    </row>
    <row r="51" spans="1:45" x14ac:dyDescent="0.2">
      <c r="A51" s="252"/>
      <c r="B51" s="247" t="str">
        <f t="shared" si="0"/>
        <v>5.11.3 / 7.12.2</v>
      </c>
      <c r="C51" s="247"/>
      <c r="D51" s="16" t="s">
        <v>34</v>
      </c>
      <c r="E51" s="15">
        <f t="shared" si="1"/>
        <v>2.8</v>
      </c>
      <c r="F51" s="15">
        <f t="shared" si="2"/>
        <v>5</v>
      </c>
      <c r="G51" s="16" t="s">
        <v>21</v>
      </c>
      <c r="H51" s="16">
        <v>2</v>
      </c>
      <c r="I51" s="168"/>
      <c r="J51" s="168"/>
      <c r="K51" s="169"/>
      <c r="M51" s="143" t="s">
        <v>601</v>
      </c>
      <c r="N51" s="144" t="s">
        <v>611</v>
      </c>
      <c r="O51" s="144" t="s">
        <v>618</v>
      </c>
      <c r="P51" s="144" t="s">
        <v>545</v>
      </c>
      <c r="Q51" s="144" t="s">
        <v>630</v>
      </c>
      <c r="R51" s="145" t="s">
        <v>637</v>
      </c>
      <c r="T51" s="72">
        <v>2.8</v>
      </c>
      <c r="U51" s="82">
        <v>2.8</v>
      </c>
      <c r="V51" s="82">
        <v>2.8</v>
      </c>
      <c r="W51" s="82">
        <v>2.8</v>
      </c>
      <c r="X51" s="82">
        <v>2.8</v>
      </c>
      <c r="Y51" s="82">
        <v>2.8</v>
      </c>
      <c r="Z51" s="82">
        <v>2.8</v>
      </c>
      <c r="AA51" s="82">
        <v>2.8</v>
      </c>
      <c r="AB51" s="82">
        <v>2.8</v>
      </c>
      <c r="AC51" s="82">
        <v>2.8</v>
      </c>
      <c r="AD51" s="82">
        <v>2.8</v>
      </c>
      <c r="AE51" s="82">
        <v>2.8</v>
      </c>
      <c r="AF51" s="82">
        <v>2.8</v>
      </c>
      <c r="AG51" s="82">
        <v>5</v>
      </c>
      <c r="AH51" s="82">
        <v>5</v>
      </c>
      <c r="AI51" s="82">
        <v>5</v>
      </c>
      <c r="AJ51" s="82">
        <v>5</v>
      </c>
      <c r="AK51" s="82">
        <v>5</v>
      </c>
      <c r="AL51" s="82">
        <v>5</v>
      </c>
      <c r="AM51" s="82">
        <v>5</v>
      </c>
      <c r="AN51" s="82">
        <v>5</v>
      </c>
      <c r="AO51" s="82">
        <v>5</v>
      </c>
      <c r="AP51" s="82">
        <v>5</v>
      </c>
      <c r="AQ51" s="82">
        <v>5</v>
      </c>
      <c r="AR51" s="82">
        <v>5</v>
      </c>
      <c r="AS51" s="33">
        <v>5</v>
      </c>
    </row>
    <row r="52" spans="1:45" ht="15" thickBot="1" x14ac:dyDescent="0.25">
      <c r="A52" s="266"/>
      <c r="B52" s="248" t="str">
        <f t="shared" si="0"/>
        <v>5.11.3 / 7.12.2</v>
      </c>
      <c r="C52" s="248"/>
      <c r="D52" s="35" t="s">
        <v>35</v>
      </c>
      <c r="E52" s="22">
        <f t="shared" si="1"/>
        <v>2.8</v>
      </c>
      <c r="F52" s="22">
        <f t="shared" si="2"/>
        <v>5</v>
      </c>
      <c r="G52" s="35" t="s">
        <v>21</v>
      </c>
      <c r="H52" s="35">
        <v>2</v>
      </c>
      <c r="I52" s="170"/>
      <c r="J52" s="170"/>
      <c r="K52" s="171"/>
      <c r="M52" s="146" t="s">
        <v>601</v>
      </c>
      <c r="N52" s="147" t="s">
        <v>611</v>
      </c>
      <c r="O52" s="147" t="s">
        <v>618</v>
      </c>
      <c r="P52" s="147" t="s">
        <v>545</v>
      </c>
      <c r="Q52" s="147" t="s">
        <v>630</v>
      </c>
      <c r="R52" s="148" t="s">
        <v>637</v>
      </c>
      <c r="T52" s="84">
        <v>2.8</v>
      </c>
      <c r="U52" s="85">
        <v>2.8</v>
      </c>
      <c r="V52" s="85">
        <v>2.8</v>
      </c>
      <c r="W52" s="85">
        <v>2.8</v>
      </c>
      <c r="X52" s="85">
        <v>2.8</v>
      </c>
      <c r="Y52" s="85">
        <v>2.8</v>
      </c>
      <c r="Z52" s="85">
        <v>2.8</v>
      </c>
      <c r="AA52" s="85">
        <v>2.8</v>
      </c>
      <c r="AB52" s="85">
        <v>2.8</v>
      </c>
      <c r="AC52" s="85">
        <v>2.8</v>
      </c>
      <c r="AD52" s="85">
        <v>2.8</v>
      </c>
      <c r="AE52" s="85">
        <v>2.8</v>
      </c>
      <c r="AF52" s="85">
        <v>2.8</v>
      </c>
      <c r="AG52" s="85">
        <v>5</v>
      </c>
      <c r="AH52" s="85">
        <v>5</v>
      </c>
      <c r="AI52" s="85">
        <v>5</v>
      </c>
      <c r="AJ52" s="85">
        <v>5</v>
      </c>
      <c r="AK52" s="85">
        <v>5</v>
      </c>
      <c r="AL52" s="85">
        <v>5</v>
      </c>
      <c r="AM52" s="85">
        <v>5</v>
      </c>
      <c r="AN52" s="85">
        <v>5</v>
      </c>
      <c r="AO52" s="85">
        <v>5</v>
      </c>
      <c r="AP52" s="85">
        <v>5</v>
      </c>
      <c r="AQ52" s="85">
        <v>5</v>
      </c>
      <c r="AR52" s="85">
        <v>5</v>
      </c>
      <c r="AS52" s="86">
        <v>5</v>
      </c>
    </row>
    <row r="53" spans="1:45" s="2" customFormat="1" ht="15" thickBot="1" x14ac:dyDescent="0.25">
      <c r="A53" s="249" t="s">
        <v>110</v>
      </c>
      <c r="B53" s="250"/>
      <c r="C53" s="250"/>
      <c r="D53" s="250"/>
      <c r="E53" s="250"/>
      <c r="F53" s="250"/>
      <c r="G53" s="250"/>
      <c r="H53" s="250"/>
      <c r="I53" s="250"/>
      <c r="J53" s="250"/>
      <c r="K53" s="251"/>
      <c r="M53" s="68" t="s">
        <v>374</v>
      </c>
      <c r="N53" s="69" t="s">
        <v>108</v>
      </c>
      <c r="O53" s="69" t="s">
        <v>140</v>
      </c>
      <c r="P53" s="69" t="s">
        <v>374</v>
      </c>
      <c r="Q53" s="69" t="s">
        <v>108</v>
      </c>
      <c r="R53" s="71" t="s">
        <v>140</v>
      </c>
      <c r="T53" s="30" t="s">
        <v>41</v>
      </c>
      <c r="U53" s="31" t="s">
        <v>43</v>
      </c>
      <c r="V53" s="31" t="s">
        <v>41</v>
      </c>
      <c r="W53" s="31" t="s">
        <v>43</v>
      </c>
      <c r="X53" s="31" t="s">
        <v>42</v>
      </c>
      <c r="Y53" s="31" t="s">
        <v>45</v>
      </c>
      <c r="Z53" s="31" t="s">
        <v>53</v>
      </c>
      <c r="AA53" s="38" t="s">
        <v>142</v>
      </c>
      <c r="AB53" s="38" t="s">
        <v>141</v>
      </c>
      <c r="AC53" s="38" t="s">
        <v>139</v>
      </c>
      <c r="AD53" s="38" t="s">
        <v>44</v>
      </c>
      <c r="AE53" s="31" t="s">
        <v>108</v>
      </c>
      <c r="AF53" s="31" t="s">
        <v>140</v>
      </c>
      <c r="AG53" s="31" t="s">
        <v>41</v>
      </c>
      <c r="AH53" s="31" t="s">
        <v>43</v>
      </c>
      <c r="AI53" s="31" t="s">
        <v>41</v>
      </c>
      <c r="AJ53" s="31" t="s">
        <v>43</v>
      </c>
      <c r="AK53" s="31" t="s">
        <v>42</v>
      </c>
      <c r="AL53" s="31" t="s">
        <v>45</v>
      </c>
      <c r="AM53" s="31" t="s">
        <v>53</v>
      </c>
      <c r="AN53" s="38" t="s">
        <v>142</v>
      </c>
      <c r="AO53" s="38" t="s">
        <v>141</v>
      </c>
      <c r="AP53" s="38" t="s">
        <v>139</v>
      </c>
      <c r="AQ53" s="38" t="s">
        <v>44</v>
      </c>
      <c r="AR53" s="31" t="s">
        <v>108</v>
      </c>
      <c r="AS53" s="32" t="s">
        <v>140</v>
      </c>
    </row>
    <row r="54" spans="1:45" ht="15" thickTop="1" x14ac:dyDescent="0.2">
      <c r="A54" s="239" t="s">
        <v>227</v>
      </c>
      <c r="B54" s="242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 ""," / "&amp;HLOOKUP(SUBSTITUTE(SUBSTITUTE(SUBSTITUTE(SUBSTITUTE(SUBSTITUTE(VCBW,"AMR_",""),"EVS_",""),"SO3_",""),"SO68_",""),"SO73_",""),$P$3:$R$57,ROW(B54)-ROW($P$3)+1,FALSE))</f>
        <v>P.863</v>
      </c>
      <c r="C54" s="29" t="s">
        <v>11</v>
      </c>
      <c r="D54" s="29"/>
      <c r="E54" s="29">
        <f>HLOOKUP(IF(OR("GSM"=Network,"WCDMA"=Network),"UMTS",IF(OR("VoLTE"=Network,"VoNR"=Network,"VoWiFi"=Network),"VoIMS",Network))&amp;" "&amp;VCBW,$T$3:$AF$57,ROW(E54)-ROW($T$3)+1,FALSE)</f>
        <v>2.7</v>
      </c>
      <c r="F54" s="29">
        <f>HLOOKUP(IF(OR("GSM"=Network,"WCDMA"=Network),"UMTS",IF(OR("VoLTE"=Network,"VoNR"=Network,"VoWiFi"=Network),"VoIMS",Network))&amp;" "&amp;VCBW,$AG$3:$AS$57,ROW(E54)-ROW($AG$3)+1,FALSE)</f>
        <v>3.8</v>
      </c>
      <c r="G54" s="21" t="s">
        <v>21</v>
      </c>
      <c r="H54" s="29">
        <v>1</v>
      </c>
      <c r="I54" s="172"/>
      <c r="J54" s="172"/>
      <c r="K54" s="173"/>
      <c r="M54" s="143" t="s">
        <v>456</v>
      </c>
      <c r="N54" s="144" t="s">
        <v>456</v>
      </c>
      <c r="O54" s="144" t="s">
        <v>456</v>
      </c>
      <c r="P54" s="144"/>
      <c r="Q54" s="144"/>
      <c r="R54" s="145"/>
      <c r="T54" s="72">
        <v>2.7</v>
      </c>
      <c r="U54" s="82">
        <v>2.7</v>
      </c>
      <c r="V54" s="82">
        <v>2.7</v>
      </c>
      <c r="W54" s="82">
        <v>2.7</v>
      </c>
      <c r="X54" s="82">
        <v>2.7</v>
      </c>
      <c r="Y54" s="82">
        <v>2.7</v>
      </c>
      <c r="Z54" s="82">
        <v>2.7</v>
      </c>
      <c r="AA54" s="82">
        <v>2.7</v>
      </c>
      <c r="AB54" s="82">
        <v>2.7</v>
      </c>
      <c r="AC54" s="82">
        <v>2.7</v>
      </c>
      <c r="AD54" s="82">
        <v>2.7</v>
      </c>
      <c r="AE54" s="82">
        <v>2.7</v>
      </c>
      <c r="AF54" s="82">
        <v>2.7</v>
      </c>
      <c r="AG54" s="82">
        <v>3.8</v>
      </c>
      <c r="AH54" s="82">
        <v>4.5</v>
      </c>
      <c r="AI54" s="82">
        <v>3.8</v>
      </c>
      <c r="AJ54" s="82">
        <v>4.5</v>
      </c>
      <c r="AK54" s="82">
        <v>3.8</v>
      </c>
      <c r="AL54" s="82">
        <v>4.5</v>
      </c>
      <c r="AM54" s="82">
        <v>4.8</v>
      </c>
      <c r="AN54" s="82">
        <v>3.8</v>
      </c>
      <c r="AO54" s="82">
        <v>3.8</v>
      </c>
      <c r="AP54" s="82">
        <v>3.8</v>
      </c>
      <c r="AQ54" s="82">
        <v>4.5</v>
      </c>
      <c r="AR54" s="82">
        <v>4.5</v>
      </c>
      <c r="AS54" s="33">
        <v>4.8</v>
      </c>
    </row>
    <row r="55" spans="1:45" x14ac:dyDescent="0.2">
      <c r="A55" s="240"/>
      <c r="B55" s="243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 ""," / "&amp;HLOOKUP(SUBSTITUTE(SUBSTITUTE(SUBSTITUTE(SUBSTITUTE(SUBSTITUTE(VCBW,"AMR_",""),"EVS_",""),"SO3_",""),"SO68_",""),"SO73_",""),$P$3:$R$57,ROW(B55)-ROW($P$3)+1,FALSE))</f>
        <v>P.863</v>
      </c>
      <c r="C55" s="243" t="s">
        <v>145</v>
      </c>
      <c r="D55" s="25" t="s">
        <v>146</v>
      </c>
      <c r="E55" s="25">
        <f>HLOOKUP(IF(OR("GSM"=Network,"WCDMA"=Network),"UMTS",IF(OR("VoLTE"=Network,"VoNR"=Network,"VoWiFi"=Network),"VoIMS",Network))&amp;" "&amp;VCBW,$T$3:$AF$57,ROW(E55)-ROW($T$3)+1,FALSE)</f>
        <v>2.1</v>
      </c>
      <c r="F55" s="25">
        <f>HLOOKUP(IF(OR("GSM"=Network,"WCDMA"=Network),"UMTS",IF(OR("VoLTE"=Network,"VoNR"=Network,"VoWiFi"=Network),"VoIMS",Network))&amp;" "&amp;VCBW,$AG$3:$AS$57,ROW(E55)-ROW($AG$3)+1,FALSE)</f>
        <v>3.8</v>
      </c>
      <c r="G55" s="15" t="s">
        <v>21</v>
      </c>
      <c r="H55" s="25">
        <v>1</v>
      </c>
      <c r="I55" s="174"/>
      <c r="J55" s="174"/>
      <c r="K55" s="175"/>
      <c r="M55" s="143" t="s">
        <v>456</v>
      </c>
      <c r="N55" s="144" t="s">
        <v>456</v>
      </c>
      <c r="O55" s="144" t="s">
        <v>456</v>
      </c>
      <c r="P55" s="144"/>
      <c r="Q55" s="144"/>
      <c r="R55" s="145"/>
      <c r="T55" s="72">
        <v>2.1</v>
      </c>
      <c r="U55" s="82">
        <v>2.2000000000000002</v>
      </c>
      <c r="V55" s="82">
        <v>2.1</v>
      </c>
      <c r="W55" s="82">
        <v>2.2000000000000002</v>
      </c>
      <c r="X55" s="82">
        <v>2.1</v>
      </c>
      <c r="Y55" s="82">
        <v>2.2000000000000002</v>
      </c>
      <c r="Z55" s="82">
        <v>2.2000000000000002</v>
      </c>
      <c r="AA55" s="82">
        <v>2.1</v>
      </c>
      <c r="AB55" s="82">
        <v>2.1</v>
      </c>
      <c r="AC55" s="82">
        <v>2.1</v>
      </c>
      <c r="AD55" s="82">
        <v>2.2000000000000002</v>
      </c>
      <c r="AE55" s="82">
        <v>2.2000000000000002</v>
      </c>
      <c r="AF55" s="82">
        <v>2.2000000000000002</v>
      </c>
      <c r="AG55" s="82">
        <v>3.8</v>
      </c>
      <c r="AH55" s="82">
        <v>4.5</v>
      </c>
      <c r="AI55" s="82">
        <v>3.8</v>
      </c>
      <c r="AJ55" s="82">
        <v>4.5</v>
      </c>
      <c r="AK55" s="82">
        <v>3.8</v>
      </c>
      <c r="AL55" s="82">
        <v>4.5</v>
      </c>
      <c r="AM55" s="82">
        <v>4.8</v>
      </c>
      <c r="AN55" s="82">
        <v>3.8</v>
      </c>
      <c r="AO55" s="82">
        <v>3.8</v>
      </c>
      <c r="AP55" s="82">
        <v>3.8</v>
      </c>
      <c r="AQ55" s="82">
        <v>4.5</v>
      </c>
      <c r="AR55" s="82">
        <v>4.5</v>
      </c>
      <c r="AS55" s="33">
        <v>4.8</v>
      </c>
    </row>
    <row r="56" spans="1:45" x14ac:dyDescent="0.2">
      <c r="A56" s="240"/>
      <c r="B56" s="243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 ""," / "&amp;HLOOKUP(SUBSTITUTE(SUBSTITUTE(SUBSTITUTE(SUBSTITUTE(SUBSTITUTE(VCBW,"AMR_",""),"EVS_",""),"SO3_",""),"SO68_",""),"SO73_",""),$P$3:$R$57,ROW(B56)-ROW($P$3)+1,FALSE))</f>
        <v>P.863</v>
      </c>
      <c r="C56" s="243"/>
      <c r="D56" s="25" t="s">
        <v>147</v>
      </c>
      <c r="E56" s="25">
        <f>HLOOKUP(IF(OR("GSM"=Network,"WCDMA"=Network),"UMTS",IF(OR("VoLTE"=Network,"VoNR"=Network,"VoWiFi"=Network),"VoIMS",Network))&amp;" "&amp;VCBW,$T$3:$AF$57,ROW(E56)-ROW($T$3)+1,FALSE)</f>
        <v>2.1</v>
      </c>
      <c r="F56" s="25">
        <f>HLOOKUP(IF(OR("GSM"=Network,"WCDMA"=Network),"UMTS",IF(OR("VoLTE"=Network,"VoNR"=Network,"VoWiFi"=Network),"VoIMS",Network))&amp;" "&amp;VCBW,$AG$3:$AS$57,ROW(E56)-ROW($AG$3)+1,FALSE)</f>
        <v>3.8</v>
      </c>
      <c r="G56" s="15" t="s">
        <v>21</v>
      </c>
      <c r="H56" s="25">
        <v>1</v>
      </c>
      <c r="I56" s="174"/>
      <c r="J56" s="174"/>
      <c r="K56" s="175"/>
      <c r="M56" s="143" t="s">
        <v>456</v>
      </c>
      <c r="N56" s="144" t="s">
        <v>456</v>
      </c>
      <c r="O56" s="144" t="s">
        <v>456</v>
      </c>
      <c r="P56" s="144"/>
      <c r="Q56" s="144"/>
      <c r="R56" s="145"/>
      <c r="T56" s="72">
        <v>2.1</v>
      </c>
      <c r="U56" s="82">
        <v>2.2000000000000002</v>
      </c>
      <c r="V56" s="82">
        <v>2.1</v>
      </c>
      <c r="W56" s="82">
        <v>2.2000000000000002</v>
      </c>
      <c r="X56" s="82">
        <v>2.1</v>
      </c>
      <c r="Y56" s="82">
        <v>2.2000000000000002</v>
      </c>
      <c r="Z56" s="82">
        <v>2.2000000000000002</v>
      </c>
      <c r="AA56" s="82">
        <v>2.1</v>
      </c>
      <c r="AB56" s="82">
        <v>2.1</v>
      </c>
      <c r="AC56" s="82">
        <v>2.1</v>
      </c>
      <c r="AD56" s="82">
        <v>2.2000000000000002</v>
      </c>
      <c r="AE56" s="82">
        <v>2.2000000000000002</v>
      </c>
      <c r="AF56" s="82">
        <v>2.2000000000000002</v>
      </c>
      <c r="AG56" s="82">
        <v>3.8</v>
      </c>
      <c r="AH56" s="82">
        <v>4.5</v>
      </c>
      <c r="AI56" s="82">
        <v>3.8</v>
      </c>
      <c r="AJ56" s="82">
        <v>4.5</v>
      </c>
      <c r="AK56" s="82">
        <v>3.8</v>
      </c>
      <c r="AL56" s="82">
        <v>4.5</v>
      </c>
      <c r="AM56" s="82">
        <v>4.8</v>
      </c>
      <c r="AN56" s="82">
        <v>3.8</v>
      </c>
      <c r="AO56" s="82">
        <v>3.8</v>
      </c>
      <c r="AP56" s="82">
        <v>3.8</v>
      </c>
      <c r="AQ56" s="82">
        <v>4.5</v>
      </c>
      <c r="AR56" s="82">
        <v>4.5</v>
      </c>
      <c r="AS56" s="33">
        <v>4.8</v>
      </c>
    </row>
    <row r="57" spans="1:45" ht="15" thickBot="1" x14ac:dyDescent="0.25">
      <c r="A57" s="241"/>
      <c r="B57" s="244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 ""," / "&amp;HLOOKUP(SUBSTITUTE(SUBSTITUTE(SUBSTITUTE(SUBSTITUTE(SUBSTITUTE(VCBW,"AMR_",""),"EVS_",""),"SO3_",""),"SO68_",""),"SO73_",""),$P$3:$R$57,ROW(B57)-ROW($P$3)+1,FALSE))</f>
        <v>P.863</v>
      </c>
      <c r="C57" s="244"/>
      <c r="D57" s="26" t="s">
        <v>148</v>
      </c>
      <c r="E57" s="26">
        <f>HLOOKUP(IF(OR("GSM"=Network,"WCDMA"=Network),"UMTS",IF(OR("VoLTE"=Network,"VoNR"=Network,"VoWiFi"=Network),"VoIMS",Network))&amp;" "&amp;VCBW,$T$3:$AF$57,ROW(E57)-ROW($T$3)+1,FALSE)</f>
        <v>2.1</v>
      </c>
      <c r="F57" s="26">
        <f>HLOOKUP(IF(OR("GSM"=Network,"WCDMA"=Network),"UMTS",IF(OR("VoLTE"=Network,"VoNR"=Network,"VoWiFi"=Network),"VoIMS",Network))&amp;" "&amp;VCBW,$AG$3:$AS$57,ROW(E57)-ROW($AG$3)+1,FALSE)</f>
        <v>3.8</v>
      </c>
      <c r="G57" s="22" t="s">
        <v>21</v>
      </c>
      <c r="H57" s="26">
        <v>1</v>
      </c>
      <c r="I57" s="176"/>
      <c r="J57" s="176"/>
      <c r="K57" s="177"/>
      <c r="M57" s="146" t="s">
        <v>456</v>
      </c>
      <c r="N57" s="147" t="s">
        <v>456</v>
      </c>
      <c r="O57" s="147" t="s">
        <v>456</v>
      </c>
      <c r="P57" s="147"/>
      <c r="Q57" s="147"/>
      <c r="R57" s="148"/>
      <c r="T57" s="66">
        <v>2.1</v>
      </c>
      <c r="U57" s="83">
        <v>2.2000000000000002</v>
      </c>
      <c r="V57" s="83">
        <v>2.1</v>
      </c>
      <c r="W57" s="83">
        <v>2.2000000000000002</v>
      </c>
      <c r="X57" s="83">
        <v>2.1</v>
      </c>
      <c r="Y57" s="83">
        <v>2.2000000000000002</v>
      </c>
      <c r="Z57" s="83">
        <v>2.2000000000000002</v>
      </c>
      <c r="AA57" s="83">
        <v>2.1</v>
      </c>
      <c r="AB57" s="83">
        <v>2.1</v>
      </c>
      <c r="AC57" s="83">
        <v>2.1</v>
      </c>
      <c r="AD57" s="83">
        <v>2.2000000000000002</v>
      </c>
      <c r="AE57" s="83">
        <v>2.2000000000000002</v>
      </c>
      <c r="AF57" s="83">
        <v>2.2000000000000002</v>
      </c>
      <c r="AG57" s="83">
        <v>3.8</v>
      </c>
      <c r="AH57" s="83">
        <v>4.5</v>
      </c>
      <c r="AI57" s="83">
        <v>3.8</v>
      </c>
      <c r="AJ57" s="83">
        <v>4.5</v>
      </c>
      <c r="AK57" s="83">
        <v>3.8</v>
      </c>
      <c r="AL57" s="83">
        <v>4.5</v>
      </c>
      <c r="AM57" s="83">
        <v>4.8</v>
      </c>
      <c r="AN57" s="83">
        <v>3.8</v>
      </c>
      <c r="AO57" s="83">
        <v>3.8</v>
      </c>
      <c r="AP57" s="83">
        <v>3.8</v>
      </c>
      <c r="AQ57" s="83">
        <v>4.5</v>
      </c>
      <c r="AR57" s="83">
        <v>4.5</v>
      </c>
      <c r="AS57" s="34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A1:H1"/>
    <mergeCell ref="A28:A33"/>
    <mergeCell ref="B28:B33"/>
    <mergeCell ref="A53:K53"/>
    <mergeCell ref="A54:A57"/>
    <mergeCell ref="B54:B57"/>
    <mergeCell ref="C55:C57"/>
    <mergeCell ref="A3:D3"/>
    <mergeCell ref="E3:H3"/>
    <mergeCell ref="A34:A52"/>
    <mergeCell ref="A6:A14"/>
    <mergeCell ref="C7:C14"/>
    <mergeCell ref="C16:C18"/>
    <mergeCell ref="C37:C44"/>
    <mergeCell ref="C45:C52"/>
    <mergeCell ref="B24:B27"/>
    <mergeCell ref="B34:B52"/>
    <mergeCell ref="A5:K5"/>
    <mergeCell ref="B7:B14"/>
    <mergeCell ref="B16:B18"/>
    <mergeCell ref="B19:B21"/>
    <mergeCell ref="B22:B23"/>
    <mergeCell ref="C19:C21"/>
    <mergeCell ref="A22:A27"/>
    <mergeCell ref="C24:C25"/>
    <mergeCell ref="C26:C27"/>
    <mergeCell ref="A19:A21"/>
    <mergeCell ref="A15:A18"/>
    <mergeCell ref="C28:C29"/>
    <mergeCell ref="C31:C32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S3:AS4"/>
    <mergeCell ref="AN3:AN4"/>
    <mergeCell ref="AO3:AO4"/>
    <mergeCell ref="AP3:AP4"/>
    <mergeCell ref="AQ3:AQ4"/>
    <mergeCell ref="AR3:AR4"/>
    <mergeCell ref="R3:R4"/>
    <mergeCell ref="M3:M4"/>
    <mergeCell ref="N3:N4"/>
    <mergeCell ref="O3:O4"/>
    <mergeCell ref="P3:P4"/>
    <mergeCell ref="Q3:Q4"/>
  </mergeCells>
  <phoneticPr fontId="1" type="noConversion"/>
  <conditionalFormatting sqref="I6:K52 I54:K57">
    <cfRule type="cellIs" dxfId="28" priority="1" stopIfTrue="1" operator="equal">
      <formula>"×"</formula>
    </cfRule>
    <cfRule type="expression" dxfId="27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26" priority="10" stopIfTrue="1">
      <formula>OR(AND(1=$H6,OR(AND(ISNUMBER($E6),I6&lt;$E6),AND(ISNUMBER($F6),I6&gt;$F6),"Fail"=I6)),AND(2=$H6,ISNUMBER($F6),I6&gt;$F6),AND(3=$H6,ISNUMBER($E6),I6&lt;$E6))</formula>
    </cfRule>
    <cfRule type="expression" dxfId="25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54:K57 I6:K21 I28:K52" xr:uid="{5FE5976C-94C3-4198-8A78-B06556FCF7B1}">
      <formula1>OR(ISNUMBER(I6),"×"=I6)</formula1>
    </dataValidation>
    <dataValidation type="list" allowBlank="1" showInputMessage="1" showErrorMessage="1" sqref="I22:K27" xr:uid="{C784B2A0-6EBF-4B86-ADC1-1F0942D3F054}">
      <formula1>"Pass,Fail,×"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AS50"/>
  <sheetViews>
    <sheetView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5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668</v>
      </c>
      <c r="B1" s="253"/>
      <c r="C1" s="253"/>
      <c r="D1" s="253"/>
      <c r="E1" s="253"/>
      <c r="F1" s="253"/>
      <c r="G1" s="253"/>
      <c r="H1" s="253"/>
      <c r="I1" s="14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4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72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1"/>
      <c r="AR4" s="271"/>
      <c r="AS4" s="270"/>
    </row>
    <row r="5" spans="1:45" s="2" customFormat="1" ht="15" thickBot="1" x14ac:dyDescent="0.25">
      <c r="A5" s="249" t="s">
        <v>134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68" t="s">
        <v>374</v>
      </c>
      <c r="N5" s="69" t="s">
        <v>108</v>
      </c>
      <c r="O5" s="69" t="s">
        <v>140</v>
      </c>
      <c r="P5" s="69" t="s">
        <v>374</v>
      </c>
      <c r="Q5" s="69" t="s">
        <v>108</v>
      </c>
      <c r="R5" s="71" t="s">
        <v>140</v>
      </c>
      <c r="T5" s="30" t="s">
        <v>41</v>
      </c>
      <c r="U5" s="31" t="s">
        <v>43</v>
      </c>
      <c r="V5" s="31" t="s">
        <v>41</v>
      </c>
      <c r="W5" s="31" t="s">
        <v>43</v>
      </c>
      <c r="X5" s="31" t="s">
        <v>42</v>
      </c>
      <c r="Y5" s="31" t="s">
        <v>45</v>
      </c>
      <c r="Z5" s="31" t="s">
        <v>53</v>
      </c>
      <c r="AA5" s="38" t="s">
        <v>142</v>
      </c>
      <c r="AB5" s="38" t="s">
        <v>141</v>
      </c>
      <c r="AC5" s="38" t="s">
        <v>139</v>
      </c>
      <c r="AD5" s="38" t="s">
        <v>44</v>
      </c>
      <c r="AE5" s="31" t="s">
        <v>108</v>
      </c>
      <c r="AF5" s="31" t="s">
        <v>140</v>
      </c>
      <c r="AG5" s="31" t="s">
        <v>41</v>
      </c>
      <c r="AH5" s="31" t="s">
        <v>43</v>
      </c>
      <c r="AI5" s="31" t="s">
        <v>41</v>
      </c>
      <c r="AJ5" s="31" t="s">
        <v>43</v>
      </c>
      <c r="AK5" s="31" t="s">
        <v>42</v>
      </c>
      <c r="AL5" s="31" t="s">
        <v>45</v>
      </c>
      <c r="AM5" s="31" t="s">
        <v>53</v>
      </c>
      <c r="AN5" s="38" t="s">
        <v>142</v>
      </c>
      <c r="AO5" s="38" t="s">
        <v>141</v>
      </c>
      <c r="AP5" s="38" t="s">
        <v>139</v>
      </c>
      <c r="AQ5" s="38" t="s">
        <v>44</v>
      </c>
      <c r="AR5" s="31" t="s">
        <v>108</v>
      </c>
      <c r="AS5" s="32" t="s">
        <v>140</v>
      </c>
    </row>
    <row r="6" spans="1:45" ht="15" thickTop="1" x14ac:dyDescent="0.2">
      <c r="A6" s="267" t="s">
        <v>121</v>
      </c>
      <c r="B6" s="114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 ""," / "&amp;HLOOKUP(SUBSTITUTE(SUBSTITUTE(SUBSTITUTE(SUBSTITUTE(SUBSTITUTE(VCBW,"AMR_",""),"EVS_",""),"SO3_",""),"SO68_",""),"SO73_",""),$P$3:$R$50,ROW(B6)-ROW($P$3)+1,FALSE))</f>
        <v>5.2.5 / 7.2.2.1</v>
      </c>
      <c r="C6" s="21" t="s">
        <v>7</v>
      </c>
      <c r="D6" s="21"/>
      <c r="E6" s="21">
        <f t="shared" ref="E6:E45" si="1">HLOOKUP(IF(OR("GSM"=Network,"WCDMA"=Network),"UMTS",IF(OR("VoLTE"=Network,"VoNR"=Network,"VoWiFi"=Network),"VoIMS",Network))&amp;" "&amp;VCBW,$T$3:$AF$50,ROW(E6)-ROW($T$3)+1,FALSE)</f>
        <v>5</v>
      </c>
      <c r="F6" s="21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21" t="s">
        <v>54</v>
      </c>
      <c r="H6" s="21">
        <v>1</v>
      </c>
      <c r="I6" s="166"/>
      <c r="J6" s="166" t="s">
        <v>164</v>
      </c>
      <c r="K6" s="167" t="s">
        <v>164</v>
      </c>
      <c r="M6" s="143" t="s">
        <v>501</v>
      </c>
      <c r="N6" s="144" t="s">
        <v>519</v>
      </c>
      <c r="O6" s="144" t="s">
        <v>536</v>
      </c>
      <c r="P6" s="144" t="s">
        <v>420</v>
      </c>
      <c r="Q6" s="144" t="s">
        <v>422</v>
      </c>
      <c r="R6" s="145" t="s">
        <v>476</v>
      </c>
      <c r="T6" s="72">
        <v>5</v>
      </c>
      <c r="U6" s="82">
        <v>5</v>
      </c>
      <c r="V6" s="82">
        <v>5</v>
      </c>
      <c r="W6" s="82">
        <v>5</v>
      </c>
      <c r="X6" s="82">
        <v>5</v>
      </c>
      <c r="Y6" s="82">
        <v>5</v>
      </c>
      <c r="Z6" s="82">
        <v>5</v>
      </c>
      <c r="AA6" s="82">
        <v>5</v>
      </c>
      <c r="AB6" s="82">
        <v>5</v>
      </c>
      <c r="AC6" s="82">
        <v>5</v>
      </c>
      <c r="AD6" s="82">
        <v>5</v>
      </c>
      <c r="AE6" s="82">
        <v>5</v>
      </c>
      <c r="AF6" s="82">
        <v>5</v>
      </c>
      <c r="AG6" s="82">
        <v>11</v>
      </c>
      <c r="AH6" s="82">
        <v>11</v>
      </c>
      <c r="AI6" s="82">
        <v>11</v>
      </c>
      <c r="AJ6" s="82">
        <v>11</v>
      </c>
      <c r="AK6" s="82">
        <v>11</v>
      </c>
      <c r="AL6" s="82">
        <v>11</v>
      </c>
      <c r="AM6" s="82">
        <v>11</v>
      </c>
      <c r="AN6" s="82">
        <v>11</v>
      </c>
      <c r="AO6" s="82">
        <v>11</v>
      </c>
      <c r="AP6" s="82">
        <v>11</v>
      </c>
      <c r="AQ6" s="82">
        <v>11</v>
      </c>
      <c r="AR6" s="82">
        <v>11</v>
      </c>
      <c r="AS6" s="33">
        <v>11</v>
      </c>
    </row>
    <row r="7" spans="1:45" x14ac:dyDescent="0.2">
      <c r="A7" s="268"/>
      <c r="B7" s="231" t="str">
        <f t="shared" si="0"/>
        <v>5.2.5 / 7.2.2.2</v>
      </c>
      <c r="C7" s="231" t="s">
        <v>8</v>
      </c>
      <c r="D7" s="15" t="s">
        <v>310</v>
      </c>
      <c r="E7" s="15">
        <f t="shared" si="1"/>
        <v>-7</v>
      </c>
      <c r="F7" s="15">
        <f t="shared" si="2"/>
        <v>-3</v>
      </c>
      <c r="G7" s="15" t="s">
        <v>54</v>
      </c>
      <c r="H7" s="15">
        <v>1</v>
      </c>
      <c r="I7" s="168"/>
      <c r="J7" s="168" t="s">
        <v>164</v>
      </c>
      <c r="K7" s="169" t="s">
        <v>164</v>
      </c>
      <c r="M7" s="143" t="s">
        <v>500</v>
      </c>
      <c r="N7" s="144" t="s">
        <v>519</v>
      </c>
      <c r="O7" s="144" t="s">
        <v>535</v>
      </c>
      <c r="P7" s="144" t="s">
        <v>424</v>
      </c>
      <c r="Q7" s="144" t="s">
        <v>426</v>
      </c>
      <c r="R7" s="145" t="s">
        <v>480</v>
      </c>
      <c r="T7" s="72">
        <v>-7</v>
      </c>
      <c r="U7" s="82">
        <v>-7</v>
      </c>
      <c r="V7" s="82">
        <v>-7</v>
      </c>
      <c r="W7" s="82">
        <v>-7</v>
      </c>
      <c r="X7" s="82">
        <v>-7</v>
      </c>
      <c r="Y7" s="82">
        <v>-7</v>
      </c>
      <c r="Z7" s="82">
        <v>-7</v>
      </c>
      <c r="AA7" s="82">
        <v>-7</v>
      </c>
      <c r="AB7" s="82">
        <v>-7</v>
      </c>
      <c r="AC7" s="82">
        <v>-7</v>
      </c>
      <c r="AD7" s="82">
        <v>-7</v>
      </c>
      <c r="AE7" s="82">
        <v>-7</v>
      </c>
      <c r="AF7" s="82">
        <v>-7</v>
      </c>
      <c r="AG7" s="82">
        <v>-3</v>
      </c>
      <c r="AH7" s="82">
        <v>-3</v>
      </c>
      <c r="AI7" s="82">
        <v>-3</v>
      </c>
      <c r="AJ7" s="82">
        <v>-3</v>
      </c>
      <c r="AK7" s="82">
        <v>-3</v>
      </c>
      <c r="AL7" s="82">
        <v>-3</v>
      </c>
      <c r="AM7" s="82">
        <v>-3</v>
      </c>
      <c r="AN7" s="82">
        <v>-3</v>
      </c>
      <c r="AO7" s="82">
        <v>-3</v>
      </c>
      <c r="AP7" s="82">
        <v>-3</v>
      </c>
      <c r="AQ7" s="82">
        <v>-3</v>
      </c>
      <c r="AR7" s="82">
        <v>-3</v>
      </c>
      <c r="AS7" s="33">
        <v>-3</v>
      </c>
    </row>
    <row r="8" spans="1:45" x14ac:dyDescent="0.2">
      <c r="A8" s="268"/>
      <c r="B8" s="231" t="str">
        <f t="shared" si="0"/>
        <v>5.2.5 / 7.2.2.2</v>
      </c>
      <c r="C8" s="231"/>
      <c r="D8" s="15" t="s">
        <v>88</v>
      </c>
      <c r="E8" s="15">
        <f t="shared" si="1"/>
        <v>-4</v>
      </c>
      <c r="F8" s="15">
        <f t="shared" si="2"/>
        <v>2</v>
      </c>
      <c r="G8" s="15" t="s">
        <v>49</v>
      </c>
      <c r="H8" s="15">
        <v>4</v>
      </c>
      <c r="I8" s="168"/>
      <c r="J8" s="168" t="s">
        <v>164</v>
      </c>
      <c r="K8" s="169" t="s">
        <v>164</v>
      </c>
      <c r="M8" s="143" t="s">
        <v>500</v>
      </c>
      <c r="N8" s="144" t="s">
        <v>519</v>
      </c>
      <c r="O8" s="144" t="s">
        <v>535</v>
      </c>
      <c r="P8" s="144" t="s">
        <v>424</v>
      </c>
      <c r="Q8" s="144" t="s">
        <v>426</v>
      </c>
      <c r="R8" s="145" t="s">
        <v>480</v>
      </c>
      <c r="T8" s="72">
        <v>-4</v>
      </c>
      <c r="U8" s="82">
        <v>-4</v>
      </c>
      <c r="V8" s="82">
        <v>-4</v>
      </c>
      <c r="W8" s="82">
        <v>-4</v>
      </c>
      <c r="X8" s="82">
        <v>-4</v>
      </c>
      <c r="Y8" s="82">
        <v>-4</v>
      </c>
      <c r="Z8" s="82">
        <v>-4</v>
      </c>
      <c r="AA8" s="82">
        <v>-4</v>
      </c>
      <c r="AB8" s="82">
        <v>-4</v>
      </c>
      <c r="AC8" s="82">
        <v>-4</v>
      </c>
      <c r="AD8" s="82">
        <v>-4</v>
      </c>
      <c r="AE8" s="82">
        <v>-4</v>
      </c>
      <c r="AF8" s="82">
        <v>-4</v>
      </c>
      <c r="AG8" s="82">
        <v>2</v>
      </c>
      <c r="AH8" s="82">
        <v>2</v>
      </c>
      <c r="AI8" s="82">
        <v>2</v>
      </c>
      <c r="AJ8" s="82">
        <v>2</v>
      </c>
      <c r="AK8" s="82">
        <v>2</v>
      </c>
      <c r="AL8" s="82">
        <v>2</v>
      </c>
      <c r="AM8" s="82">
        <v>2</v>
      </c>
      <c r="AN8" s="82">
        <v>2</v>
      </c>
      <c r="AO8" s="82">
        <v>2</v>
      </c>
      <c r="AP8" s="82">
        <v>2</v>
      </c>
      <c r="AQ8" s="82">
        <v>2</v>
      </c>
      <c r="AR8" s="82">
        <v>2</v>
      </c>
      <c r="AS8" s="33">
        <v>2</v>
      </c>
    </row>
    <row r="9" spans="1:45" x14ac:dyDescent="0.2">
      <c r="A9" s="268"/>
      <c r="B9" s="231" t="str">
        <f t="shared" si="0"/>
        <v>5.2.5 / 7.2.2.2</v>
      </c>
      <c r="C9" s="231"/>
      <c r="D9" s="15" t="s">
        <v>75</v>
      </c>
      <c r="E9" s="15">
        <f t="shared" si="1"/>
        <v>-1</v>
      </c>
      <c r="F9" s="15">
        <f t="shared" si="2"/>
        <v>5</v>
      </c>
      <c r="G9" s="15" t="s">
        <v>49</v>
      </c>
      <c r="H9" s="15">
        <v>4</v>
      </c>
      <c r="I9" s="168"/>
      <c r="J9" s="168" t="s">
        <v>164</v>
      </c>
      <c r="K9" s="169" t="s">
        <v>164</v>
      </c>
      <c r="M9" s="143" t="s">
        <v>500</v>
      </c>
      <c r="N9" s="144" t="s">
        <v>519</v>
      </c>
      <c r="O9" s="144" t="s">
        <v>535</v>
      </c>
      <c r="P9" s="144" t="s">
        <v>424</v>
      </c>
      <c r="Q9" s="144" t="s">
        <v>426</v>
      </c>
      <c r="R9" s="145" t="s">
        <v>480</v>
      </c>
      <c r="T9" s="72">
        <v>-1</v>
      </c>
      <c r="U9" s="82">
        <v>-1</v>
      </c>
      <c r="V9" s="82">
        <v>-1</v>
      </c>
      <c r="W9" s="82">
        <v>-1</v>
      </c>
      <c r="X9" s="82">
        <v>-1</v>
      </c>
      <c r="Y9" s="82">
        <v>-1</v>
      </c>
      <c r="Z9" s="82">
        <v>-1</v>
      </c>
      <c r="AA9" s="82">
        <v>-1</v>
      </c>
      <c r="AB9" s="82">
        <v>-1</v>
      </c>
      <c r="AC9" s="82">
        <v>-1</v>
      </c>
      <c r="AD9" s="82">
        <v>-1</v>
      </c>
      <c r="AE9" s="82">
        <v>-1</v>
      </c>
      <c r="AF9" s="82">
        <v>-1</v>
      </c>
      <c r="AG9" s="82">
        <v>5</v>
      </c>
      <c r="AH9" s="82">
        <v>5</v>
      </c>
      <c r="AI9" s="82">
        <v>5</v>
      </c>
      <c r="AJ9" s="82">
        <v>5</v>
      </c>
      <c r="AK9" s="82">
        <v>5</v>
      </c>
      <c r="AL9" s="82">
        <v>5</v>
      </c>
      <c r="AM9" s="82">
        <v>5</v>
      </c>
      <c r="AN9" s="82">
        <v>5</v>
      </c>
      <c r="AO9" s="82">
        <v>5</v>
      </c>
      <c r="AP9" s="82">
        <v>5</v>
      </c>
      <c r="AQ9" s="82">
        <v>5</v>
      </c>
      <c r="AR9" s="82">
        <v>5</v>
      </c>
      <c r="AS9" s="33">
        <v>5</v>
      </c>
    </row>
    <row r="10" spans="1:45" x14ac:dyDescent="0.2">
      <c r="A10" s="268"/>
      <c r="B10" s="231" t="str">
        <f t="shared" si="0"/>
        <v>5.2.5 / 7.2.2.2</v>
      </c>
      <c r="C10" s="231"/>
      <c r="D10" s="15" t="s">
        <v>89</v>
      </c>
      <c r="E10" s="15">
        <f t="shared" si="1"/>
        <v>2</v>
      </c>
      <c r="F10" s="15">
        <f t="shared" si="2"/>
        <v>8</v>
      </c>
      <c r="G10" s="15" t="s">
        <v>49</v>
      </c>
      <c r="H10" s="15">
        <v>4</v>
      </c>
      <c r="I10" s="168"/>
      <c r="J10" s="168" t="s">
        <v>164</v>
      </c>
      <c r="K10" s="169" t="s">
        <v>164</v>
      </c>
      <c r="M10" s="143" t="s">
        <v>500</v>
      </c>
      <c r="N10" s="144" t="s">
        <v>519</v>
      </c>
      <c r="O10" s="144" t="s">
        <v>535</v>
      </c>
      <c r="P10" s="144" t="s">
        <v>424</v>
      </c>
      <c r="Q10" s="144" t="s">
        <v>426</v>
      </c>
      <c r="R10" s="145" t="s">
        <v>480</v>
      </c>
      <c r="T10" s="72">
        <v>2</v>
      </c>
      <c r="U10" s="82">
        <v>2</v>
      </c>
      <c r="V10" s="82">
        <v>2</v>
      </c>
      <c r="W10" s="82">
        <v>2</v>
      </c>
      <c r="X10" s="82">
        <v>2</v>
      </c>
      <c r="Y10" s="82">
        <v>2</v>
      </c>
      <c r="Z10" s="82">
        <v>2</v>
      </c>
      <c r="AA10" s="82">
        <v>2</v>
      </c>
      <c r="AB10" s="82">
        <v>2</v>
      </c>
      <c r="AC10" s="82">
        <v>2</v>
      </c>
      <c r="AD10" s="82">
        <v>2</v>
      </c>
      <c r="AE10" s="82">
        <v>2</v>
      </c>
      <c r="AF10" s="82">
        <v>2</v>
      </c>
      <c r="AG10" s="82">
        <v>8</v>
      </c>
      <c r="AH10" s="82">
        <v>8</v>
      </c>
      <c r="AI10" s="82">
        <v>8</v>
      </c>
      <c r="AJ10" s="82">
        <v>8</v>
      </c>
      <c r="AK10" s="82">
        <v>8</v>
      </c>
      <c r="AL10" s="82">
        <v>8</v>
      </c>
      <c r="AM10" s="82">
        <v>8</v>
      </c>
      <c r="AN10" s="82">
        <v>8</v>
      </c>
      <c r="AO10" s="82">
        <v>8</v>
      </c>
      <c r="AP10" s="82">
        <v>8</v>
      </c>
      <c r="AQ10" s="82">
        <v>8</v>
      </c>
      <c r="AR10" s="82">
        <v>8</v>
      </c>
      <c r="AS10" s="33">
        <v>8</v>
      </c>
    </row>
    <row r="11" spans="1:45" x14ac:dyDescent="0.2">
      <c r="A11" s="268"/>
      <c r="B11" s="231" t="str">
        <f t="shared" si="0"/>
        <v>5.2.5 / 7.2.2.2</v>
      </c>
      <c r="C11" s="231"/>
      <c r="D11" s="15" t="s">
        <v>90</v>
      </c>
      <c r="E11" s="15">
        <f t="shared" si="1"/>
        <v>5</v>
      </c>
      <c r="F11" s="15">
        <f t="shared" si="2"/>
        <v>11</v>
      </c>
      <c r="G11" s="15" t="s">
        <v>49</v>
      </c>
      <c r="H11" s="15">
        <v>1</v>
      </c>
      <c r="I11" s="168"/>
      <c r="J11" s="168" t="s">
        <v>164</v>
      </c>
      <c r="K11" s="169" t="s">
        <v>164</v>
      </c>
      <c r="M11" s="143" t="s">
        <v>500</v>
      </c>
      <c r="N11" s="144" t="s">
        <v>519</v>
      </c>
      <c r="O11" s="144" t="s">
        <v>535</v>
      </c>
      <c r="P11" s="144" t="s">
        <v>424</v>
      </c>
      <c r="Q11" s="144" t="s">
        <v>426</v>
      </c>
      <c r="R11" s="145" t="s">
        <v>480</v>
      </c>
      <c r="T11" s="72">
        <v>5</v>
      </c>
      <c r="U11" s="82">
        <v>5</v>
      </c>
      <c r="V11" s="82">
        <v>5</v>
      </c>
      <c r="W11" s="82">
        <v>5</v>
      </c>
      <c r="X11" s="82">
        <v>5</v>
      </c>
      <c r="Y11" s="82">
        <v>5</v>
      </c>
      <c r="Z11" s="82">
        <v>5</v>
      </c>
      <c r="AA11" s="82">
        <v>5</v>
      </c>
      <c r="AB11" s="82">
        <v>5</v>
      </c>
      <c r="AC11" s="82">
        <v>5</v>
      </c>
      <c r="AD11" s="82">
        <v>5</v>
      </c>
      <c r="AE11" s="82">
        <v>5</v>
      </c>
      <c r="AF11" s="82">
        <v>5</v>
      </c>
      <c r="AG11" s="82">
        <v>11</v>
      </c>
      <c r="AH11" s="82">
        <v>11</v>
      </c>
      <c r="AI11" s="82">
        <v>11</v>
      </c>
      <c r="AJ11" s="82">
        <v>11</v>
      </c>
      <c r="AK11" s="82">
        <v>11</v>
      </c>
      <c r="AL11" s="82">
        <v>11</v>
      </c>
      <c r="AM11" s="82">
        <v>11</v>
      </c>
      <c r="AN11" s="82">
        <v>11</v>
      </c>
      <c r="AO11" s="82">
        <v>11</v>
      </c>
      <c r="AP11" s="82">
        <v>11</v>
      </c>
      <c r="AQ11" s="82">
        <v>11</v>
      </c>
      <c r="AR11" s="82">
        <v>11</v>
      </c>
      <c r="AS11" s="33">
        <v>11</v>
      </c>
    </row>
    <row r="12" spans="1:45" x14ac:dyDescent="0.2">
      <c r="A12" s="268"/>
      <c r="B12" s="231" t="str">
        <f t="shared" si="0"/>
        <v>5.2.5 / 7.2.2.2</v>
      </c>
      <c r="C12" s="231"/>
      <c r="D12" s="15" t="s">
        <v>91</v>
      </c>
      <c r="E12" s="15">
        <f t="shared" si="1"/>
        <v>8</v>
      </c>
      <c r="F12" s="15">
        <f t="shared" si="2"/>
        <v>18</v>
      </c>
      <c r="G12" s="15" t="s">
        <v>49</v>
      </c>
      <c r="H12" s="15">
        <v>4</v>
      </c>
      <c r="I12" s="168"/>
      <c r="J12" s="168" t="s">
        <v>164</v>
      </c>
      <c r="K12" s="169" t="s">
        <v>164</v>
      </c>
      <c r="M12" s="143" t="s">
        <v>500</v>
      </c>
      <c r="N12" s="144" t="s">
        <v>519</v>
      </c>
      <c r="O12" s="144" t="s">
        <v>535</v>
      </c>
      <c r="P12" s="144" t="s">
        <v>424</v>
      </c>
      <c r="Q12" s="144" t="s">
        <v>426</v>
      </c>
      <c r="R12" s="145" t="s">
        <v>480</v>
      </c>
      <c r="T12" s="72">
        <v>8</v>
      </c>
      <c r="U12" s="82">
        <v>8</v>
      </c>
      <c r="V12" s="82">
        <v>8</v>
      </c>
      <c r="W12" s="82">
        <v>8</v>
      </c>
      <c r="X12" s="82">
        <v>8</v>
      </c>
      <c r="Y12" s="82">
        <v>8</v>
      </c>
      <c r="Z12" s="82">
        <v>8</v>
      </c>
      <c r="AA12" s="82">
        <v>8</v>
      </c>
      <c r="AB12" s="82">
        <v>8</v>
      </c>
      <c r="AC12" s="82">
        <v>8</v>
      </c>
      <c r="AD12" s="82">
        <v>8</v>
      </c>
      <c r="AE12" s="82">
        <v>8</v>
      </c>
      <c r="AF12" s="82">
        <v>8</v>
      </c>
      <c r="AG12" s="82">
        <v>18</v>
      </c>
      <c r="AH12" s="82">
        <v>18</v>
      </c>
      <c r="AI12" s="82">
        <v>18</v>
      </c>
      <c r="AJ12" s="82">
        <v>18</v>
      </c>
      <c r="AK12" s="82">
        <v>18</v>
      </c>
      <c r="AL12" s="82">
        <v>18</v>
      </c>
      <c r="AM12" s="82">
        <v>18</v>
      </c>
      <c r="AN12" s="82">
        <v>18</v>
      </c>
      <c r="AO12" s="82">
        <v>18</v>
      </c>
      <c r="AP12" s="82">
        <v>18</v>
      </c>
      <c r="AQ12" s="82">
        <v>18</v>
      </c>
      <c r="AR12" s="82">
        <v>18</v>
      </c>
      <c r="AS12" s="33">
        <v>18</v>
      </c>
    </row>
    <row r="13" spans="1:45" x14ac:dyDescent="0.2">
      <c r="A13" s="268"/>
      <c r="B13" s="231" t="str">
        <f t="shared" si="0"/>
        <v>5.2.5 / 7.2.2.2</v>
      </c>
      <c r="C13" s="231"/>
      <c r="D13" s="15" t="s">
        <v>92</v>
      </c>
      <c r="E13" s="15">
        <f t="shared" si="1"/>
        <v>11</v>
      </c>
      <c r="F13" s="15">
        <f t="shared" si="2"/>
        <v>21</v>
      </c>
      <c r="G13" s="15" t="s">
        <v>49</v>
      </c>
      <c r="H13" s="15">
        <v>4</v>
      </c>
      <c r="I13" s="168"/>
      <c r="J13" s="168" t="s">
        <v>164</v>
      </c>
      <c r="K13" s="169" t="s">
        <v>164</v>
      </c>
      <c r="M13" s="143" t="s">
        <v>500</v>
      </c>
      <c r="N13" s="144" t="s">
        <v>519</v>
      </c>
      <c r="O13" s="144" t="s">
        <v>535</v>
      </c>
      <c r="P13" s="144" t="s">
        <v>424</v>
      </c>
      <c r="Q13" s="144" t="s">
        <v>426</v>
      </c>
      <c r="R13" s="145" t="s">
        <v>480</v>
      </c>
      <c r="T13" s="72">
        <v>11</v>
      </c>
      <c r="U13" s="82">
        <v>11</v>
      </c>
      <c r="V13" s="82">
        <v>11</v>
      </c>
      <c r="W13" s="82">
        <v>11</v>
      </c>
      <c r="X13" s="82">
        <v>11</v>
      </c>
      <c r="Y13" s="82">
        <v>11</v>
      </c>
      <c r="Z13" s="82">
        <v>11</v>
      </c>
      <c r="AA13" s="82">
        <v>11</v>
      </c>
      <c r="AB13" s="82">
        <v>11</v>
      </c>
      <c r="AC13" s="82">
        <v>11</v>
      </c>
      <c r="AD13" s="82">
        <v>11</v>
      </c>
      <c r="AE13" s="82">
        <v>11</v>
      </c>
      <c r="AF13" s="82">
        <v>11</v>
      </c>
      <c r="AG13" s="82">
        <v>21</v>
      </c>
      <c r="AH13" s="82">
        <v>21</v>
      </c>
      <c r="AI13" s="82">
        <v>21</v>
      </c>
      <c r="AJ13" s="82">
        <v>21</v>
      </c>
      <c r="AK13" s="82">
        <v>21</v>
      </c>
      <c r="AL13" s="82">
        <v>21</v>
      </c>
      <c r="AM13" s="82">
        <v>21</v>
      </c>
      <c r="AN13" s="82">
        <v>21</v>
      </c>
      <c r="AO13" s="82">
        <v>21</v>
      </c>
      <c r="AP13" s="82">
        <v>21</v>
      </c>
      <c r="AQ13" s="82">
        <v>21</v>
      </c>
      <c r="AR13" s="82">
        <v>21</v>
      </c>
      <c r="AS13" s="33">
        <v>21</v>
      </c>
    </row>
    <row r="14" spans="1:45" x14ac:dyDescent="0.2">
      <c r="A14" s="268"/>
      <c r="B14" s="231" t="str">
        <f t="shared" si="0"/>
        <v>5.2.5 / 7.2.2.2</v>
      </c>
      <c r="C14" s="231"/>
      <c r="D14" s="15" t="s">
        <v>93</v>
      </c>
      <c r="E14" s="15">
        <f t="shared" si="1"/>
        <v>14</v>
      </c>
      <c r="F14" s="15">
        <f t="shared" si="2"/>
        <v>24</v>
      </c>
      <c r="G14" s="15" t="s">
        <v>54</v>
      </c>
      <c r="H14" s="15">
        <v>1</v>
      </c>
      <c r="I14" s="168"/>
      <c r="J14" s="168" t="s">
        <v>164</v>
      </c>
      <c r="K14" s="169" t="s">
        <v>164</v>
      </c>
      <c r="M14" s="143" t="s">
        <v>500</v>
      </c>
      <c r="N14" s="144" t="s">
        <v>519</v>
      </c>
      <c r="O14" s="144" t="s">
        <v>535</v>
      </c>
      <c r="P14" s="144" t="s">
        <v>424</v>
      </c>
      <c r="Q14" s="144" t="s">
        <v>426</v>
      </c>
      <c r="R14" s="145" t="s">
        <v>480</v>
      </c>
      <c r="T14" s="72">
        <v>14</v>
      </c>
      <c r="U14" s="82">
        <v>14</v>
      </c>
      <c r="V14" s="82">
        <v>14</v>
      </c>
      <c r="W14" s="82">
        <v>14</v>
      </c>
      <c r="X14" s="82">
        <v>14</v>
      </c>
      <c r="Y14" s="82">
        <v>14</v>
      </c>
      <c r="Z14" s="82">
        <v>14</v>
      </c>
      <c r="AA14" s="82">
        <v>14</v>
      </c>
      <c r="AB14" s="82">
        <v>14</v>
      </c>
      <c r="AC14" s="82">
        <v>14</v>
      </c>
      <c r="AD14" s="82">
        <v>14</v>
      </c>
      <c r="AE14" s="82">
        <v>14</v>
      </c>
      <c r="AF14" s="82">
        <v>14</v>
      </c>
      <c r="AG14" s="82">
        <v>24</v>
      </c>
      <c r="AH14" s="82">
        <v>24</v>
      </c>
      <c r="AI14" s="82">
        <v>24</v>
      </c>
      <c r="AJ14" s="82">
        <v>24</v>
      </c>
      <c r="AK14" s="82">
        <v>24</v>
      </c>
      <c r="AL14" s="82">
        <v>24</v>
      </c>
      <c r="AM14" s="82">
        <v>24</v>
      </c>
      <c r="AN14" s="82">
        <v>24</v>
      </c>
      <c r="AO14" s="82">
        <v>24</v>
      </c>
      <c r="AP14" s="82">
        <v>24</v>
      </c>
      <c r="AQ14" s="82">
        <v>24</v>
      </c>
      <c r="AR14" s="82">
        <v>24</v>
      </c>
      <c r="AS14" s="33">
        <v>24</v>
      </c>
    </row>
    <row r="15" spans="1:45" x14ac:dyDescent="0.2">
      <c r="A15" s="269"/>
      <c r="B15" s="128" t="str">
        <f t="shared" si="0"/>
        <v>5.2.5a / 7.2.2.3</v>
      </c>
      <c r="C15" s="128" t="s">
        <v>435</v>
      </c>
      <c r="D15" s="131" t="s">
        <v>84</v>
      </c>
      <c r="E15" s="131">
        <f t="shared" si="1"/>
        <v>-7</v>
      </c>
      <c r="F15" s="131">
        <f t="shared" si="2"/>
        <v>-3</v>
      </c>
      <c r="G15" s="131" t="s">
        <v>49</v>
      </c>
      <c r="H15" s="131">
        <v>1</v>
      </c>
      <c r="I15" s="168"/>
      <c r="J15" s="168" t="s">
        <v>164</v>
      </c>
      <c r="K15" s="169" t="s">
        <v>164</v>
      </c>
      <c r="M15" s="143" t="s">
        <v>502</v>
      </c>
      <c r="N15" s="144" t="s">
        <v>520</v>
      </c>
      <c r="O15" s="144" t="s">
        <v>537</v>
      </c>
      <c r="P15" s="144" t="s">
        <v>437</v>
      </c>
      <c r="Q15" s="144" t="s">
        <v>458</v>
      </c>
      <c r="R15" s="145" t="s">
        <v>481</v>
      </c>
      <c r="T15" s="72">
        <v>-7</v>
      </c>
      <c r="U15" s="129">
        <v>-7</v>
      </c>
      <c r="V15" s="129">
        <v>-7</v>
      </c>
      <c r="W15" s="129">
        <v>-7</v>
      </c>
      <c r="X15" s="129">
        <v>-7</v>
      </c>
      <c r="Y15" s="129">
        <v>-7</v>
      </c>
      <c r="Z15" s="129">
        <v>-7</v>
      </c>
      <c r="AA15" s="129">
        <v>-7</v>
      </c>
      <c r="AB15" s="129">
        <v>-7</v>
      </c>
      <c r="AC15" s="129">
        <v>-7</v>
      </c>
      <c r="AD15" s="129">
        <v>-7</v>
      </c>
      <c r="AE15" s="129">
        <v>-7</v>
      </c>
      <c r="AF15" s="129">
        <v>-7</v>
      </c>
      <c r="AG15" s="129">
        <v>-3</v>
      </c>
      <c r="AH15" s="129">
        <v>-3</v>
      </c>
      <c r="AI15" s="129">
        <v>-3</v>
      </c>
      <c r="AJ15" s="129">
        <v>-3</v>
      </c>
      <c r="AK15" s="129">
        <v>-3</v>
      </c>
      <c r="AL15" s="129">
        <v>-3</v>
      </c>
      <c r="AM15" s="129">
        <v>-3</v>
      </c>
      <c r="AN15" s="129">
        <v>-3</v>
      </c>
      <c r="AO15" s="129">
        <v>-3</v>
      </c>
      <c r="AP15" s="129">
        <v>-3</v>
      </c>
      <c r="AQ15" s="129">
        <v>-3</v>
      </c>
      <c r="AR15" s="129">
        <v>-3</v>
      </c>
      <c r="AS15" s="33">
        <v>-3</v>
      </c>
    </row>
    <row r="16" spans="1:45" x14ac:dyDescent="0.2">
      <c r="A16" s="276" t="s">
        <v>6</v>
      </c>
      <c r="B16" s="221" t="str">
        <f t="shared" si="0"/>
        <v>5.3.1 / 7.3.1</v>
      </c>
      <c r="C16" s="221" t="s">
        <v>9</v>
      </c>
      <c r="D16" s="15"/>
      <c r="E16" s="15" t="str">
        <f t="shared" si="1"/>
        <v>N/A</v>
      </c>
      <c r="F16" s="15">
        <f t="shared" si="2"/>
        <v>-64</v>
      </c>
      <c r="G16" s="15" t="s">
        <v>50</v>
      </c>
      <c r="H16" s="15">
        <v>1</v>
      </c>
      <c r="I16" s="168"/>
      <c r="J16" s="168" t="s">
        <v>164</v>
      </c>
      <c r="K16" s="169" t="s">
        <v>164</v>
      </c>
      <c r="M16" s="143" t="s">
        <v>503</v>
      </c>
      <c r="N16" s="144" t="s">
        <v>521</v>
      </c>
      <c r="O16" s="144" t="s">
        <v>430</v>
      </c>
      <c r="P16" s="144" t="s">
        <v>430</v>
      </c>
      <c r="Q16" s="144" t="s">
        <v>428</v>
      </c>
      <c r="R16" s="145" t="s">
        <v>483</v>
      </c>
      <c r="T16" s="72" t="s">
        <v>143</v>
      </c>
      <c r="U16" s="82" t="s">
        <v>143</v>
      </c>
      <c r="V16" s="82" t="s">
        <v>143</v>
      </c>
      <c r="W16" s="82" t="s">
        <v>143</v>
      </c>
      <c r="X16" s="82" t="s">
        <v>143</v>
      </c>
      <c r="Y16" s="82" t="s">
        <v>143</v>
      </c>
      <c r="Z16" s="82" t="s">
        <v>143</v>
      </c>
      <c r="AA16" s="82" t="s">
        <v>143</v>
      </c>
      <c r="AB16" s="82" t="s">
        <v>143</v>
      </c>
      <c r="AC16" s="82" t="s">
        <v>143</v>
      </c>
      <c r="AD16" s="82" t="s">
        <v>143</v>
      </c>
      <c r="AE16" s="82" t="s">
        <v>143</v>
      </c>
      <c r="AF16" s="82" t="s">
        <v>143</v>
      </c>
      <c r="AG16" s="82">
        <v>-64</v>
      </c>
      <c r="AH16" s="82">
        <v>-64</v>
      </c>
      <c r="AI16" s="82">
        <v>-64</v>
      </c>
      <c r="AJ16" s="82">
        <v>-64</v>
      </c>
      <c r="AK16" s="82">
        <v>-64</v>
      </c>
      <c r="AL16" s="82">
        <v>-64</v>
      </c>
      <c r="AM16" s="82">
        <v>-64</v>
      </c>
      <c r="AN16" s="82">
        <v>-64</v>
      </c>
      <c r="AO16" s="82">
        <v>-64</v>
      </c>
      <c r="AP16" s="82">
        <v>-64</v>
      </c>
      <c r="AQ16" s="82">
        <v>-64</v>
      </c>
      <c r="AR16" s="82">
        <v>-64</v>
      </c>
      <c r="AS16" s="33">
        <v>-64</v>
      </c>
    </row>
    <row r="17" spans="1:45" x14ac:dyDescent="0.2">
      <c r="A17" s="276"/>
      <c r="B17" s="222" t="str">
        <f t="shared" si="0"/>
        <v>5.3.1 / 7.3.1</v>
      </c>
      <c r="C17" s="222"/>
      <c r="D17" s="105" t="s">
        <v>279</v>
      </c>
      <c r="E17" s="105" t="str">
        <f t="shared" si="1"/>
        <v>N/A</v>
      </c>
      <c r="F17" s="105">
        <f t="shared" si="2"/>
        <v>-74</v>
      </c>
      <c r="G17" s="105" t="s">
        <v>50</v>
      </c>
      <c r="H17" s="105">
        <v>1</v>
      </c>
      <c r="I17" s="168"/>
      <c r="J17" s="168" t="s">
        <v>164</v>
      </c>
      <c r="K17" s="169" t="s">
        <v>164</v>
      </c>
      <c r="M17" s="143" t="s">
        <v>503</v>
      </c>
      <c r="N17" s="144" t="s">
        <v>521</v>
      </c>
      <c r="O17" s="144" t="s">
        <v>430</v>
      </c>
      <c r="P17" s="144" t="s">
        <v>429</v>
      </c>
      <c r="Q17" s="144" t="s">
        <v>428</v>
      </c>
      <c r="R17" s="145" t="s">
        <v>483</v>
      </c>
      <c r="T17" s="72" t="s">
        <v>143</v>
      </c>
      <c r="U17" s="104" t="s">
        <v>143</v>
      </c>
      <c r="V17" s="104" t="s">
        <v>143</v>
      </c>
      <c r="W17" s="104" t="s">
        <v>143</v>
      </c>
      <c r="X17" s="104" t="s">
        <v>143</v>
      </c>
      <c r="Y17" s="104" t="s">
        <v>143</v>
      </c>
      <c r="Z17" s="104" t="s">
        <v>143</v>
      </c>
      <c r="AA17" s="104" t="s">
        <v>143</v>
      </c>
      <c r="AB17" s="104" t="s">
        <v>143</v>
      </c>
      <c r="AC17" s="104" t="s">
        <v>143</v>
      </c>
      <c r="AD17" s="104" t="s">
        <v>143</v>
      </c>
      <c r="AE17" s="104" t="s">
        <v>143</v>
      </c>
      <c r="AF17" s="104" t="s">
        <v>143</v>
      </c>
      <c r="AG17" s="104">
        <v>-74</v>
      </c>
      <c r="AH17" s="104">
        <v>-74</v>
      </c>
      <c r="AI17" s="104">
        <v>-74</v>
      </c>
      <c r="AJ17" s="104">
        <v>-74</v>
      </c>
      <c r="AK17" s="104">
        <v>-74</v>
      </c>
      <c r="AL17" s="104">
        <v>-74</v>
      </c>
      <c r="AM17" s="104">
        <v>-74</v>
      </c>
      <c r="AN17" s="104">
        <v>-74</v>
      </c>
      <c r="AO17" s="104">
        <v>-74</v>
      </c>
      <c r="AP17" s="104">
        <v>-74</v>
      </c>
      <c r="AQ17" s="104">
        <v>-74</v>
      </c>
      <c r="AR17" s="104">
        <v>-74</v>
      </c>
      <c r="AS17" s="33">
        <v>-74</v>
      </c>
    </row>
    <row r="18" spans="1:45" x14ac:dyDescent="0.2">
      <c r="A18" s="276"/>
      <c r="B18" s="231" t="str">
        <f t="shared" si="0"/>
        <v>5.3.2 / 7.3.2</v>
      </c>
      <c r="C18" s="231" t="s">
        <v>10</v>
      </c>
      <c r="D18" s="15" t="s">
        <v>74</v>
      </c>
      <c r="E18" s="15" t="str">
        <f t="shared" si="1"/>
        <v>N/A</v>
      </c>
      <c r="F18" s="15">
        <f t="shared" si="2"/>
        <v>-54</v>
      </c>
      <c r="G18" s="15" t="s">
        <v>51</v>
      </c>
      <c r="H18" s="15">
        <v>1</v>
      </c>
      <c r="I18" s="168"/>
      <c r="J18" s="168" t="s">
        <v>164</v>
      </c>
      <c r="K18" s="169" t="s">
        <v>164</v>
      </c>
      <c r="M18" s="143" t="s">
        <v>506</v>
      </c>
      <c r="N18" s="144" t="s">
        <v>524</v>
      </c>
      <c r="O18" s="144" t="s">
        <v>434</v>
      </c>
      <c r="P18" s="144" t="s">
        <v>434</v>
      </c>
      <c r="Q18" s="144" t="s">
        <v>432</v>
      </c>
      <c r="R18" s="145" t="s">
        <v>485</v>
      </c>
      <c r="T18" s="72" t="s">
        <v>143</v>
      </c>
      <c r="U18" s="82" t="s">
        <v>143</v>
      </c>
      <c r="V18" s="82" t="s">
        <v>143</v>
      </c>
      <c r="W18" s="82" t="s">
        <v>143</v>
      </c>
      <c r="X18" s="82" t="s">
        <v>143</v>
      </c>
      <c r="Y18" s="82" t="s">
        <v>143</v>
      </c>
      <c r="Z18" s="82" t="s">
        <v>143</v>
      </c>
      <c r="AA18" s="82" t="s">
        <v>143</v>
      </c>
      <c r="AB18" s="82" t="s">
        <v>143</v>
      </c>
      <c r="AC18" s="82" t="s">
        <v>143</v>
      </c>
      <c r="AD18" s="82" t="s">
        <v>143</v>
      </c>
      <c r="AE18" s="82" t="s">
        <v>143</v>
      </c>
      <c r="AF18" s="82" t="s">
        <v>143</v>
      </c>
      <c r="AG18" s="82">
        <v>-54</v>
      </c>
      <c r="AH18" s="82">
        <v>-54</v>
      </c>
      <c r="AI18" s="82">
        <v>-54</v>
      </c>
      <c r="AJ18" s="82">
        <v>-54</v>
      </c>
      <c r="AK18" s="82">
        <v>-54</v>
      </c>
      <c r="AL18" s="82">
        <v>-54</v>
      </c>
      <c r="AM18" s="82">
        <v>-54</v>
      </c>
      <c r="AN18" s="82">
        <v>-54</v>
      </c>
      <c r="AO18" s="82">
        <v>-54</v>
      </c>
      <c r="AP18" s="82">
        <v>-54</v>
      </c>
      <c r="AQ18" s="82">
        <v>-54</v>
      </c>
      <c r="AR18" s="82">
        <v>-54</v>
      </c>
      <c r="AS18" s="33">
        <v>-54</v>
      </c>
    </row>
    <row r="19" spans="1:45" x14ac:dyDescent="0.2">
      <c r="A19" s="276"/>
      <c r="B19" s="231" t="str">
        <f t="shared" si="0"/>
        <v>5.3.2 / 7.3.2</v>
      </c>
      <c r="C19" s="231"/>
      <c r="D19" s="105" t="s">
        <v>85</v>
      </c>
      <c r="E19" s="105" t="str">
        <f t="shared" si="1"/>
        <v>N/A</v>
      </c>
      <c r="F19" s="105">
        <f t="shared" si="2"/>
        <v>-57</v>
      </c>
      <c r="G19" s="105" t="s">
        <v>283</v>
      </c>
      <c r="H19" s="105">
        <v>1</v>
      </c>
      <c r="I19" s="168"/>
      <c r="J19" s="168" t="s">
        <v>164</v>
      </c>
      <c r="K19" s="169" t="s">
        <v>164</v>
      </c>
      <c r="M19" s="143" t="s">
        <v>506</v>
      </c>
      <c r="N19" s="144" t="s">
        <v>524</v>
      </c>
      <c r="O19" s="144" t="s">
        <v>434</v>
      </c>
      <c r="P19" s="144" t="s">
        <v>434</v>
      </c>
      <c r="Q19" s="144" t="s">
        <v>431</v>
      </c>
      <c r="R19" s="145" t="s">
        <v>485</v>
      </c>
      <c r="T19" s="72" t="s">
        <v>143</v>
      </c>
      <c r="U19" s="104" t="s">
        <v>143</v>
      </c>
      <c r="V19" s="104" t="s">
        <v>143</v>
      </c>
      <c r="W19" s="104" t="s">
        <v>143</v>
      </c>
      <c r="X19" s="104" t="s">
        <v>143</v>
      </c>
      <c r="Y19" s="104" t="s">
        <v>143</v>
      </c>
      <c r="Z19" s="104" t="s">
        <v>143</v>
      </c>
      <c r="AA19" s="104" t="s">
        <v>143</v>
      </c>
      <c r="AB19" s="104" t="s">
        <v>143</v>
      </c>
      <c r="AC19" s="104" t="s">
        <v>143</v>
      </c>
      <c r="AD19" s="104" t="s">
        <v>143</v>
      </c>
      <c r="AE19" s="104" t="s">
        <v>143</v>
      </c>
      <c r="AF19" s="104" t="s">
        <v>143</v>
      </c>
      <c r="AG19" s="104">
        <v>-57</v>
      </c>
      <c r="AH19" s="104">
        <v>-57</v>
      </c>
      <c r="AI19" s="104">
        <v>-57</v>
      </c>
      <c r="AJ19" s="104">
        <v>-57</v>
      </c>
      <c r="AK19" s="104">
        <v>-57</v>
      </c>
      <c r="AL19" s="104">
        <v>-57</v>
      </c>
      <c r="AM19" s="104">
        <v>-57</v>
      </c>
      <c r="AN19" s="104">
        <v>-57</v>
      </c>
      <c r="AO19" s="104">
        <v>-57</v>
      </c>
      <c r="AP19" s="104">
        <v>-57</v>
      </c>
      <c r="AQ19" s="104">
        <v>-57</v>
      </c>
      <c r="AR19" s="104">
        <v>-57</v>
      </c>
      <c r="AS19" s="33">
        <v>-57</v>
      </c>
    </row>
    <row r="20" spans="1:45" x14ac:dyDescent="0.2">
      <c r="A20" s="276"/>
      <c r="B20" s="231" t="str">
        <f t="shared" si="0"/>
        <v>5.3.2 / 7.3.2</v>
      </c>
      <c r="C20" s="231"/>
      <c r="D20" s="15" t="s">
        <v>279</v>
      </c>
      <c r="E20" s="15" t="str">
        <f t="shared" si="1"/>
        <v>N/A</v>
      </c>
      <c r="F20" s="15">
        <f t="shared" si="2"/>
        <v>-60</v>
      </c>
      <c r="G20" s="15" t="s">
        <v>51</v>
      </c>
      <c r="H20" s="15">
        <v>1</v>
      </c>
      <c r="I20" s="168"/>
      <c r="J20" s="168" t="s">
        <v>164</v>
      </c>
      <c r="K20" s="169" t="s">
        <v>164</v>
      </c>
      <c r="M20" s="143" t="s">
        <v>506</v>
      </c>
      <c r="N20" s="144" t="s">
        <v>524</v>
      </c>
      <c r="O20" s="144" t="s">
        <v>434</v>
      </c>
      <c r="P20" s="144" t="s">
        <v>434</v>
      </c>
      <c r="Q20" s="144" t="s">
        <v>431</v>
      </c>
      <c r="R20" s="145" t="s">
        <v>485</v>
      </c>
      <c r="T20" s="72" t="s">
        <v>143</v>
      </c>
      <c r="U20" s="82" t="s">
        <v>143</v>
      </c>
      <c r="V20" s="82" t="s">
        <v>143</v>
      </c>
      <c r="W20" s="82" t="s">
        <v>143</v>
      </c>
      <c r="X20" s="82" t="s">
        <v>143</v>
      </c>
      <c r="Y20" s="82" t="s">
        <v>143</v>
      </c>
      <c r="Z20" s="82" t="s">
        <v>143</v>
      </c>
      <c r="AA20" s="82" t="s">
        <v>143</v>
      </c>
      <c r="AB20" s="82" t="s">
        <v>143</v>
      </c>
      <c r="AC20" s="82" t="s">
        <v>143</v>
      </c>
      <c r="AD20" s="82" t="s">
        <v>143</v>
      </c>
      <c r="AE20" s="82" t="s">
        <v>143</v>
      </c>
      <c r="AF20" s="82" t="s">
        <v>143</v>
      </c>
      <c r="AG20" s="82">
        <v>-60</v>
      </c>
      <c r="AH20" s="82">
        <v>-60</v>
      </c>
      <c r="AI20" s="82">
        <v>-60</v>
      </c>
      <c r="AJ20" s="82">
        <v>-60</v>
      </c>
      <c r="AK20" s="82">
        <v>-60</v>
      </c>
      <c r="AL20" s="82">
        <v>-60</v>
      </c>
      <c r="AM20" s="82">
        <v>-60</v>
      </c>
      <c r="AN20" s="82">
        <v>-60</v>
      </c>
      <c r="AO20" s="82">
        <v>-60</v>
      </c>
      <c r="AP20" s="82">
        <v>-60</v>
      </c>
      <c r="AQ20" s="82">
        <v>-60</v>
      </c>
      <c r="AR20" s="82">
        <v>-60</v>
      </c>
      <c r="AS20" s="33">
        <v>-60</v>
      </c>
    </row>
    <row r="21" spans="1:45" x14ac:dyDescent="0.2">
      <c r="A21" s="276" t="s">
        <v>12</v>
      </c>
      <c r="B21" s="115" t="str">
        <f t="shared" si="0"/>
        <v>5.4.1 / 7.4.1</v>
      </c>
      <c r="C21" s="15" t="s">
        <v>11</v>
      </c>
      <c r="D21" s="15"/>
      <c r="E21" s="15">
        <f t="shared" si="1"/>
        <v>2</v>
      </c>
      <c r="F21" s="15" t="str">
        <f t="shared" si="2"/>
        <v>N/A</v>
      </c>
      <c r="G21" s="15" t="s">
        <v>54</v>
      </c>
      <c r="H21" s="15">
        <v>1</v>
      </c>
      <c r="I21" s="168"/>
      <c r="J21" s="168" t="s">
        <v>164</v>
      </c>
      <c r="K21" s="169" t="s">
        <v>164</v>
      </c>
      <c r="M21" s="143" t="s">
        <v>507</v>
      </c>
      <c r="N21" s="144" t="s">
        <v>525</v>
      </c>
      <c r="O21" s="144" t="s">
        <v>439</v>
      </c>
      <c r="P21" s="144" t="s">
        <v>439</v>
      </c>
      <c r="Q21" s="144" t="s">
        <v>464</v>
      </c>
      <c r="R21" s="145" t="s">
        <v>487</v>
      </c>
      <c r="T21" s="72">
        <v>2</v>
      </c>
      <c r="U21" s="82">
        <v>2</v>
      </c>
      <c r="V21" s="82">
        <v>2</v>
      </c>
      <c r="W21" s="82">
        <v>2</v>
      </c>
      <c r="X21" s="82">
        <v>2</v>
      </c>
      <c r="Y21" s="82">
        <v>2</v>
      </c>
      <c r="Z21" s="82">
        <v>2</v>
      </c>
      <c r="AA21" s="82">
        <v>2</v>
      </c>
      <c r="AB21" s="82">
        <v>2</v>
      </c>
      <c r="AC21" s="82">
        <v>2</v>
      </c>
      <c r="AD21" s="82">
        <v>2</v>
      </c>
      <c r="AE21" s="82">
        <v>2</v>
      </c>
      <c r="AF21" s="82">
        <v>2</v>
      </c>
      <c r="AG21" s="82" t="s">
        <v>143</v>
      </c>
      <c r="AH21" s="82" t="s">
        <v>143</v>
      </c>
      <c r="AI21" s="82" t="s">
        <v>143</v>
      </c>
      <c r="AJ21" s="82" t="s">
        <v>143</v>
      </c>
      <c r="AK21" s="82" t="s">
        <v>143</v>
      </c>
      <c r="AL21" s="82" t="s">
        <v>143</v>
      </c>
      <c r="AM21" s="82" t="s">
        <v>143</v>
      </c>
      <c r="AN21" s="82" t="s">
        <v>143</v>
      </c>
      <c r="AO21" s="82" t="s">
        <v>143</v>
      </c>
      <c r="AP21" s="82" t="s">
        <v>143</v>
      </c>
      <c r="AQ21" s="82" t="s">
        <v>143</v>
      </c>
      <c r="AR21" s="82" t="s">
        <v>143</v>
      </c>
      <c r="AS21" s="33" t="s">
        <v>143</v>
      </c>
    </row>
    <row r="22" spans="1:45" x14ac:dyDescent="0.2">
      <c r="A22" s="276"/>
      <c r="B22" s="231" t="str">
        <f t="shared" si="0"/>
        <v>5.4.2 / 7.4.2</v>
      </c>
      <c r="C22" s="231" t="s">
        <v>10</v>
      </c>
      <c r="D22" s="15" t="s">
        <v>0</v>
      </c>
      <c r="E22" s="15">
        <f t="shared" si="1"/>
        <v>1</v>
      </c>
      <c r="F22" s="15" t="str">
        <f t="shared" si="2"/>
        <v>N/A</v>
      </c>
      <c r="G22" s="15" t="s">
        <v>54</v>
      </c>
      <c r="H22" s="15">
        <v>1</v>
      </c>
      <c r="I22" s="168"/>
      <c r="J22" s="168" t="s">
        <v>164</v>
      </c>
      <c r="K22" s="169" t="s">
        <v>164</v>
      </c>
      <c r="M22" s="143" t="s">
        <v>508</v>
      </c>
      <c r="N22" s="144" t="s">
        <v>526</v>
      </c>
      <c r="O22" s="144" t="s">
        <v>539</v>
      </c>
      <c r="P22" s="144" t="s">
        <v>441</v>
      </c>
      <c r="Q22" s="144" t="s">
        <v>461</v>
      </c>
      <c r="R22" s="145" t="s">
        <v>489</v>
      </c>
      <c r="T22" s="72">
        <v>1</v>
      </c>
      <c r="U22" s="82">
        <v>1</v>
      </c>
      <c r="V22" s="82">
        <v>1</v>
      </c>
      <c r="W22" s="82">
        <v>1</v>
      </c>
      <c r="X22" s="82">
        <v>1</v>
      </c>
      <c r="Y22" s="82">
        <v>1</v>
      </c>
      <c r="Z22" s="82">
        <v>1</v>
      </c>
      <c r="AA22" s="82">
        <v>1</v>
      </c>
      <c r="AB22" s="82">
        <v>1</v>
      </c>
      <c r="AC22" s="82">
        <v>1</v>
      </c>
      <c r="AD22" s="82">
        <v>1</v>
      </c>
      <c r="AE22" s="82">
        <v>1</v>
      </c>
      <c r="AF22" s="82">
        <v>1</v>
      </c>
      <c r="AG22" s="82" t="s">
        <v>143</v>
      </c>
      <c r="AH22" s="82" t="s">
        <v>143</v>
      </c>
      <c r="AI22" s="82" t="s">
        <v>143</v>
      </c>
      <c r="AJ22" s="82" t="s">
        <v>143</v>
      </c>
      <c r="AK22" s="82" t="s">
        <v>143</v>
      </c>
      <c r="AL22" s="82" t="s">
        <v>143</v>
      </c>
      <c r="AM22" s="82" t="s">
        <v>143</v>
      </c>
      <c r="AN22" s="82" t="s">
        <v>143</v>
      </c>
      <c r="AO22" s="82" t="s">
        <v>143</v>
      </c>
      <c r="AP22" s="82" t="s">
        <v>143</v>
      </c>
      <c r="AQ22" s="82" t="s">
        <v>143</v>
      </c>
      <c r="AR22" s="82" t="s">
        <v>143</v>
      </c>
      <c r="AS22" s="33" t="s">
        <v>143</v>
      </c>
    </row>
    <row r="23" spans="1:45" x14ac:dyDescent="0.2">
      <c r="A23" s="276"/>
      <c r="B23" s="231" t="str">
        <f t="shared" si="0"/>
        <v>5.4.2 / 7.4.2</v>
      </c>
      <c r="C23" s="231"/>
      <c r="D23" s="15" t="s">
        <v>5</v>
      </c>
      <c r="E23" s="15">
        <f t="shared" si="1"/>
        <v>2</v>
      </c>
      <c r="F23" s="15" t="str">
        <f t="shared" si="2"/>
        <v>N/A</v>
      </c>
      <c r="G23" s="15" t="s">
        <v>54</v>
      </c>
      <c r="H23" s="15">
        <v>1</v>
      </c>
      <c r="I23" s="168"/>
      <c r="J23" s="168" t="s">
        <v>164</v>
      </c>
      <c r="K23" s="169" t="s">
        <v>164</v>
      </c>
      <c r="M23" s="143" t="s">
        <v>508</v>
      </c>
      <c r="N23" s="144" t="s">
        <v>526</v>
      </c>
      <c r="O23" s="144" t="s">
        <v>539</v>
      </c>
      <c r="P23" s="144" t="s">
        <v>441</v>
      </c>
      <c r="Q23" s="144" t="s">
        <v>461</v>
      </c>
      <c r="R23" s="145" t="s">
        <v>489</v>
      </c>
      <c r="T23" s="72">
        <v>2</v>
      </c>
      <c r="U23" s="82">
        <v>2</v>
      </c>
      <c r="V23" s="82">
        <v>2</v>
      </c>
      <c r="W23" s="82">
        <v>2</v>
      </c>
      <c r="X23" s="82">
        <v>2</v>
      </c>
      <c r="Y23" s="82">
        <v>2</v>
      </c>
      <c r="Z23" s="82">
        <v>2</v>
      </c>
      <c r="AA23" s="82">
        <v>2</v>
      </c>
      <c r="AB23" s="82">
        <v>2</v>
      </c>
      <c r="AC23" s="82">
        <v>2</v>
      </c>
      <c r="AD23" s="82">
        <v>2</v>
      </c>
      <c r="AE23" s="82">
        <v>2</v>
      </c>
      <c r="AF23" s="82">
        <v>2</v>
      </c>
      <c r="AG23" s="82" t="s">
        <v>143</v>
      </c>
      <c r="AH23" s="82" t="s">
        <v>143</v>
      </c>
      <c r="AI23" s="82" t="s">
        <v>143</v>
      </c>
      <c r="AJ23" s="82" t="s">
        <v>143</v>
      </c>
      <c r="AK23" s="82" t="s">
        <v>143</v>
      </c>
      <c r="AL23" s="82" t="s">
        <v>143</v>
      </c>
      <c r="AM23" s="82" t="s">
        <v>143</v>
      </c>
      <c r="AN23" s="82" t="s">
        <v>143</v>
      </c>
      <c r="AO23" s="82" t="s">
        <v>143</v>
      </c>
      <c r="AP23" s="82" t="s">
        <v>143</v>
      </c>
      <c r="AQ23" s="82" t="s">
        <v>143</v>
      </c>
      <c r="AR23" s="82" t="s">
        <v>143</v>
      </c>
      <c r="AS23" s="33" t="s">
        <v>143</v>
      </c>
    </row>
    <row r="24" spans="1:45" x14ac:dyDescent="0.2">
      <c r="A24" s="276"/>
      <c r="B24" s="231" t="str">
        <f t="shared" si="0"/>
        <v>5.4.2 / 7.4.2</v>
      </c>
      <c r="C24" s="231"/>
      <c r="D24" s="15" t="s">
        <v>2</v>
      </c>
      <c r="E24" s="15">
        <f t="shared" si="1"/>
        <v>2</v>
      </c>
      <c r="F24" s="15" t="str">
        <f t="shared" si="2"/>
        <v>N/A</v>
      </c>
      <c r="G24" s="15" t="s">
        <v>54</v>
      </c>
      <c r="H24" s="15">
        <v>1</v>
      </c>
      <c r="I24" s="168"/>
      <c r="J24" s="168" t="s">
        <v>164</v>
      </c>
      <c r="K24" s="169" t="s">
        <v>164</v>
      </c>
      <c r="M24" s="143" t="s">
        <v>508</v>
      </c>
      <c r="N24" s="144" t="s">
        <v>526</v>
      </c>
      <c r="O24" s="144" t="s">
        <v>539</v>
      </c>
      <c r="P24" s="144" t="s">
        <v>441</v>
      </c>
      <c r="Q24" s="144" t="s">
        <v>461</v>
      </c>
      <c r="R24" s="145" t="s">
        <v>489</v>
      </c>
      <c r="T24" s="72">
        <v>2</v>
      </c>
      <c r="U24" s="82">
        <v>2</v>
      </c>
      <c r="V24" s="82">
        <v>2</v>
      </c>
      <c r="W24" s="82">
        <v>2</v>
      </c>
      <c r="X24" s="82">
        <v>2</v>
      </c>
      <c r="Y24" s="82">
        <v>2</v>
      </c>
      <c r="Z24" s="82">
        <v>2</v>
      </c>
      <c r="AA24" s="82">
        <v>2</v>
      </c>
      <c r="AB24" s="82">
        <v>2</v>
      </c>
      <c r="AC24" s="82">
        <v>2</v>
      </c>
      <c r="AD24" s="82">
        <v>2</v>
      </c>
      <c r="AE24" s="82">
        <v>2</v>
      </c>
      <c r="AF24" s="82">
        <v>2</v>
      </c>
      <c r="AG24" s="82" t="s">
        <v>143</v>
      </c>
      <c r="AH24" s="82" t="s">
        <v>143</v>
      </c>
      <c r="AI24" s="82" t="s">
        <v>143</v>
      </c>
      <c r="AJ24" s="82" t="s">
        <v>143</v>
      </c>
      <c r="AK24" s="82" t="s">
        <v>143</v>
      </c>
      <c r="AL24" s="82" t="s">
        <v>143</v>
      </c>
      <c r="AM24" s="82" t="s">
        <v>143</v>
      </c>
      <c r="AN24" s="82" t="s">
        <v>143</v>
      </c>
      <c r="AO24" s="82" t="s">
        <v>143</v>
      </c>
      <c r="AP24" s="82" t="s">
        <v>143</v>
      </c>
      <c r="AQ24" s="82" t="s">
        <v>143</v>
      </c>
      <c r="AR24" s="82" t="s">
        <v>143</v>
      </c>
      <c r="AS24" s="33" t="s">
        <v>143</v>
      </c>
    </row>
    <row r="25" spans="1:45" x14ac:dyDescent="0.2">
      <c r="A25" s="276" t="s">
        <v>13</v>
      </c>
      <c r="B25" s="231" t="str">
        <f t="shared" si="0"/>
        <v>5.5.1 / 7.5.2</v>
      </c>
      <c r="C25" s="231" t="s">
        <v>3</v>
      </c>
      <c r="D25" s="15" t="s">
        <v>0</v>
      </c>
      <c r="E25" s="15">
        <f t="shared" si="1"/>
        <v>15</v>
      </c>
      <c r="F25" s="15">
        <f t="shared" si="2"/>
        <v>23</v>
      </c>
      <c r="G25" s="15" t="s">
        <v>54</v>
      </c>
      <c r="H25" s="15">
        <v>3</v>
      </c>
      <c r="I25" s="168" t="s">
        <v>164</v>
      </c>
      <c r="J25" s="168" t="s">
        <v>164</v>
      </c>
      <c r="K25" s="169" t="s">
        <v>164</v>
      </c>
      <c r="M25" s="143" t="s">
        <v>509</v>
      </c>
      <c r="N25" s="144" t="s">
        <v>527</v>
      </c>
      <c r="O25" s="144" t="s">
        <v>541</v>
      </c>
      <c r="P25" s="144" t="s">
        <v>442</v>
      </c>
      <c r="Q25" s="144" t="s">
        <v>466</v>
      </c>
      <c r="R25" s="145" t="s">
        <v>490</v>
      </c>
      <c r="T25" s="72">
        <v>15</v>
      </c>
      <c r="U25" s="82">
        <v>15</v>
      </c>
      <c r="V25" s="82">
        <v>15</v>
      </c>
      <c r="W25" s="82">
        <v>15</v>
      </c>
      <c r="X25" s="82">
        <v>15</v>
      </c>
      <c r="Y25" s="82">
        <v>15</v>
      </c>
      <c r="Z25" s="82">
        <v>15</v>
      </c>
      <c r="AA25" s="82">
        <v>15</v>
      </c>
      <c r="AB25" s="82">
        <v>15</v>
      </c>
      <c r="AC25" s="82">
        <v>15</v>
      </c>
      <c r="AD25" s="82">
        <v>15</v>
      </c>
      <c r="AE25" s="82">
        <v>15</v>
      </c>
      <c r="AF25" s="82">
        <v>15</v>
      </c>
      <c r="AG25" s="82">
        <v>23</v>
      </c>
      <c r="AH25" s="82">
        <v>23</v>
      </c>
      <c r="AI25" s="82">
        <v>23</v>
      </c>
      <c r="AJ25" s="82">
        <v>23</v>
      </c>
      <c r="AK25" s="82">
        <v>23</v>
      </c>
      <c r="AL25" s="82">
        <v>23</v>
      </c>
      <c r="AM25" s="82">
        <v>23</v>
      </c>
      <c r="AN25" s="82">
        <v>23</v>
      </c>
      <c r="AO25" s="82">
        <v>23</v>
      </c>
      <c r="AP25" s="82">
        <v>23</v>
      </c>
      <c r="AQ25" s="82">
        <v>23</v>
      </c>
      <c r="AR25" s="82">
        <v>23</v>
      </c>
      <c r="AS25" s="33">
        <v>23</v>
      </c>
    </row>
    <row r="26" spans="1:45" x14ac:dyDescent="0.2">
      <c r="A26" s="276"/>
      <c r="B26" s="231" t="str">
        <f t="shared" si="0"/>
        <v>5.5.1 / 7.5.2</v>
      </c>
      <c r="C26" s="231"/>
      <c r="D26" s="15" t="s">
        <v>1</v>
      </c>
      <c r="E26" s="15">
        <f t="shared" si="1"/>
        <v>15</v>
      </c>
      <c r="F26" s="15">
        <f t="shared" si="2"/>
        <v>23</v>
      </c>
      <c r="G26" s="15" t="s">
        <v>54</v>
      </c>
      <c r="H26" s="15">
        <v>3</v>
      </c>
      <c r="I26" s="168" t="s">
        <v>164</v>
      </c>
      <c r="J26" s="168" t="s">
        <v>164</v>
      </c>
      <c r="K26" s="169" t="s">
        <v>164</v>
      </c>
      <c r="M26" s="143" t="s">
        <v>509</v>
      </c>
      <c r="N26" s="144" t="s">
        <v>527</v>
      </c>
      <c r="O26" s="144" t="s">
        <v>541</v>
      </c>
      <c r="P26" s="144" t="s">
        <v>442</v>
      </c>
      <c r="Q26" s="144" t="s">
        <v>466</v>
      </c>
      <c r="R26" s="145" t="s">
        <v>490</v>
      </c>
      <c r="T26" s="72">
        <v>15</v>
      </c>
      <c r="U26" s="82">
        <v>15</v>
      </c>
      <c r="V26" s="82">
        <v>15</v>
      </c>
      <c r="W26" s="82">
        <v>15</v>
      </c>
      <c r="X26" s="82">
        <v>15</v>
      </c>
      <c r="Y26" s="82">
        <v>15</v>
      </c>
      <c r="Z26" s="82">
        <v>15</v>
      </c>
      <c r="AA26" s="82">
        <v>15</v>
      </c>
      <c r="AB26" s="82">
        <v>15</v>
      </c>
      <c r="AC26" s="82">
        <v>15</v>
      </c>
      <c r="AD26" s="82">
        <v>15</v>
      </c>
      <c r="AE26" s="82">
        <v>15</v>
      </c>
      <c r="AF26" s="82">
        <v>15</v>
      </c>
      <c r="AG26" s="82">
        <v>23</v>
      </c>
      <c r="AH26" s="82">
        <v>23</v>
      </c>
      <c r="AI26" s="82">
        <v>23</v>
      </c>
      <c r="AJ26" s="82">
        <v>23</v>
      </c>
      <c r="AK26" s="82">
        <v>23</v>
      </c>
      <c r="AL26" s="82">
        <v>23</v>
      </c>
      <c r="AM26" s="82">
        <v>23</v>
      </c>
      <c r="AN26" s="82">
        <v>23</v>
      </c>
      <c r="AO26" s="82">
        <v>23</v>
      </c>
      <c r="AP26" s="82">
        <v>23</v>
      </c>
      <c r="AQ26" s="82">
        <v>23</v>
      </c>
      <c r="AR26" s="82">
        <v>23</v>
      </c>
      <c r="AS26" s="33">
        <v>23</v>
      </c>
    </row>
    <row r="27" spans="1:45" x14ac:dyDescent="0.2">
      <c r="A27" s="276"/>
      <c r="B27" s="231" t="str">
        <f t="shared" si="0"/>
        <v>5.5.1 / 7.5.2</v>
      </c>
      <c r="C27" s="231"/>
      <c r="D27" s="15" t="s">
        <v>2</v>
      </c>
      <c r="E27" s="15">
        <f t="shared" si="1"/>
        <v>15</v>
      </c>
      <c r="F27" s="15">
        <f t="shared" si="2"/>
        <v>23</v>
      </c>
      <c r="G27" s="15" t="s">
        <v>54</v>
      </c>
      <c r="H27" s="15">
        <v>3</v>
      </c>
      <c r="I27" s="168" t="s">
        <v>164</v>
      </c>
      <c r="J27" s="168" t="s">
        <v>164</v>
      </c>
      <c r="K27" s="169" t="s">
        <v>164</v>
      </c>
      <c r="M27" s="143" t="s">
        <v>509</v>
      </c>
      <c r="N27" s="144" t="s">
        <v>527</v>
      </c>
      <c r="O27" s="144" t="s">
        <v>541</v>
      </c>
      <c r="P27" s="144" t="s">
        <v>442</v>
      </c>
      <c r="Q27" s="144" t="s">
        <v>466</v>
      </c>
      <c r="R27" s="145" t="s">
        <v>490</v>
      </c>
      <c r="T27" s="72">
        <v>15</v>
      </c>
      <c r="U27" s="82">
        <v>15</v>
      </c>
      <c r="V27" s="82">
        <v>15</v>
      </c>
      <c r="W27" s="82">
        <v>15</v>
      </c>
      <c r="X27" s="82">
        <v>15</v>
      </c>
      <c r="Y27" s="82">
        <v>15</v>
      </c>
      <c r="Z27" s="82">
        <v>15</v>
      </c>
      <c r="AA27" s="82">
        <v>15</v>
      </c>
      <c r="AB27" s="82">
        <v>15</v>
      </c>
      <c r="AC27" s="82">
        <v>15</v>
      </c>
      <c r="AD27" s="82">
        <v>15</v>
      </c>
      <c r="AE27" s="82">
        <v>15</v>
      </c>
      <c r="AF27" s="82">
        <v>15</v>
      </c>
      <c r="AG27" s="82">
        <v>23</v>
      </c>
      <c r="AH27" s="82">
        <v>23</v>
      </c>
      <c r="AI27" s="82">
        <v>23</v>
      </c>
      <c r="AJ27" s="82">
        <v>23</v>
      </c>
      <c r="AK27" s="82">
        <v>23</v>
      </c>
      <c r="AL27" s="82">
        <v>23</v>
      </c>
      <c r="AM27" s="82">
        <v>23</v>
      </c>
      <c r="AN27" s="82">
        <v>23</v>
      </c>
      <c r="AO27" s="82">
        <v>23</v>
      </c>
      <c r="AP27" s="82">
        <v>23</v>
      </c>
      <c r="AQ27" s="82">
        <v>23</v>
      </c>
      <c r="AR27" s="82">
        <v>23</v>
      </c>
      <c r="AS27" s="33">
        <v>23</v>
      </c>
    </row>
    <row r="28" spans="1:45" x14ac:dyDescent="0.2">
      <c r="A28" s="276"/>
      <c r="B28" s="115" t="str">
        <f t="shared" si="0"/>
        <v>5.5.2 / 7.5.4</v>
      </c>
      <c r="C28" s="15" t="s">
        <v>4</v>
      </c>
      <c r="D28" s="15"/>
      <c r="E28" s="15">
        <f t="shared" si="1"/>
        <v>0</v>
      </c>
      <c r="F28" s="15">
        <f t="shared" si="2"/>
        <v>5</v>
      </c>
      <c r="G28" s="15" t="s">
        <v>55</v>
      </c>
      <c r="H28" s="15">
        <v>1</v>
      </c>
      <c r="I28" s="168" t="s">
        <v>164</v>
      </c>
      <c r="J28" s="168" t="s">
        <v>164</v>
      </c>
      <c r="K28" s="169" t="s">
        <v>164</v>
      </c>
      <c r="M28" s="143" t="s">
        <v>510</v>
      </c>
      <c r="N28" s="144" t="s">
        <v>528</v>
      </c>
      <c r="O28" s="144" t="s">
        <v>442</v>
      </c>
      <c r="P28" s="144" t="s">
        <v>443</v>
      </c>
      <c r="Q28" s="144" t="s">
        <v>467</v>
      </c>
      <c r="R28" s="145" t="s">
        <v>491</v>
      </c>
      <c r="T28" s="7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Z28" s="82">
        <v>0</v>
      </c>
      <c r="AA28" s="82">
        <v>0</v>
      </c>
      <c r="AB28" s="82">
        <v>0</v>
      </c>
      <c r="AC28" s="82">
        <v>0</v>
      </c>
      <c r="AD28" s="82">
        <v>0</v>
      </c>
      <c r="AE28" s="82">
        <v>0</v>
      </c>
      <c r="AF28" s="82">
        <v>0</v>
      </c>
      <c r="AG28" s="82">
        <v>5</v>
      </c>
      <c r="AH28" s="82">
        <v>5</v>
      </c>
      <c r="AI28" s="82">
        <v>5</v>
      </c>
      <c r="AJ28" s="82">
        <v>5</v>
      </c>
      <c r="AK28" s="82">
        <v>5</v>
      </c>
      <c r="AL28" s="82">
        <v>5</v>
      </c>
      <c r="AM28" s="82">
        <v>5</v>
      </c>
      <c r="AN28" s="82">
        <v>5</v>
      </c>
      <c r="AO28" s="82">
        <v>5</v>
      </c>
      <c r="AP28" s="82">
        <v>5</v>
      </c>
      <c r="AQ28" s="82">
        <v>5</v>
      </c>
      <c r="AR28" s="82">
        <v>5</v>
      </c>
      <c r="AS28" s="33">
        <v>5</v>
      </c>
    </row>
    <row r="29" spans="1:45" x14ac:dyDescent="0.2">
      <c r="A29" s="132" t="s">
        <v>14</v>
      </c>
      <c r="B29" s="115" t="str">
        <f t="shared" si="0"/>
        <v>5.6 / 7.6</v>
      </c>
      <c r="C29" s="15"/>
      <c r="D29" s="15" t="s">
        <v>0</v>
      </c>
      <c r="E29" s="15">
        <f t="shared" si="1"/>
        <v>6</v>
      </c>
      <c r="F29" s="15" t="str">
        <f t="shared" si="2"/>
        <v>N/A</v>
      </c>
      <c r="G29" s="15" t="s">
        <v>54</v>
      </c>
      <c r="H29" s="15">
        <v>1</v>
      </c>
      <c r="I29" s="168"/>
      <c r="J29" s="168" t="s">
        <v>164</v>
      </c>
      <c r="K29" s="169" t="s">
        <v>164</v>
      </c>
      <c r="M29" s="143" t="s">
        <v>513</v>
      </c>
      <c r="N29" s="144" t="s">
        <v>529</v>
      </c>
      <c r="O29" s="144" t="s">
        <v>542</v>
      </c>
      <c r="P29" s="144">
        <v>7.6</v>
      </c>
      <c r="Q29" s="144" t="s">
        <v>468</v>
      </c>
      <c r="R29" s="145" t="s">
        <v>492</v>
      </c>
      <c r="T29" s="72">
        <v>6</v>
      </c>
      <c r="U29" s="82">
        <v>6</v>
      </c>
      <c r="V29" s="82">
        <v>6</v>
      </c>
      <c r="W29" s="82">
        <v>6</v>
      </c>
      <c r="X29" s="82">
        <v>6</v>
      </c>
      <c r="Y29" s="82">
        <v>6</v>
      </c>
      <c r="Z29" s="82">
        <v>6</v>
      </c>
      <c r="AA29" s="82">
        <v>6</v>
      </c>
      <c r="AB29" s="82">
        <v>6</v>
      </c>
      <c r="AC29" s="82">
        <v>6</v>
      </c>
      <c r="AD29" s="82">
        <v>6</v>
      </c>
      <c r="AE29" s="82">
        <v>6</v>
      </c>
      <c r="AF29" s="82">
        <v>6</v>
      </c>
      <c r="AG29" s="82" t="s">
        <v>143</v>
      </c>
      <c r="AH29" s="82" t="s">
        <v>143</v>
      </c>
      <c r="AI29" s="82" t="s">
        <v>143</v>
      </c>
      <c r="AJ29" s="82" t="s">
        <v>143</v>
      </c>
      <c r="AK29" s="82" t="s">
        <v>143</v>
      </c>
      <c r="AL29" s="82" t="s">
        <v>143</v>
      </c>
      <c r="AM29" s="82" t="s">
        <v>143</v>
      </c>
      <c r="AN29" s="82" t="s">
        <v>143</v>
      </c>
      <c r="AO29" s="82" t="s">
        <v>143</v>
      </c>
      <c r="AP29" s="82" t="s">
        <v>143</v>
      </c>
      <c r="AQ29" s="82" t="s">
        <v>143</v>
      </c>
      <c r="AR29" s="82" t="s">
        <v>143</v>
      </c>
      <c r="AS29" s="33" t="s">
        <v>143</v>
      </c>
    </row>
    <row r="30" spans="1:45" x14ac:dyDescent="0.2">
      <c r="A30" s="276" t="s">
        <v>15</v>
      </c>
      <c r="B30" s="231" t="str">
        <f t="shared" si="0"/>
        <v>5.7.5 / 7.7.4</v>
      </c>
      <c r="C30" s="231" t="s">
        <v>16</v>
      </c>
      <c r="D30" s="15" t="s">
        <v>0</v>
      </c>
      <c r="E30" s="15">
        <f t="shared" si="1"/>
        <v>46</v>
      </c>
      <c r="F30" s="15" t="str">
        <f t="shared" si="2"/>
        <v>N/A</v>
      </c>
      <c r="G30" s="15" t="s">
        <v>49</v>
      </c>
      <c r="H30" s="15">
        <v>1</v>
      </c>
      <c r="I30" s="168"/>
      <c r="J30" s="168" t="s">
        <v>164</v>
      </c>
      <c r="K30" s="169" t="s">
        <v>164</v>
      </c>
      <c r="M30" s="143" t="s">
        <v>512</v>
      </c>
      <c r="N30" s="144" t="s">
        <v>530</v>
      </c>
      <c r="O30" s="144" t="s">
        <v>543</v>
      </c>
      <c r="P30" s="144" t="s">
        <v>445</v>
      </c>
      <c r="Q30" s="144" t="s">
        <v>469</v>
      </c>
      <c r="R30" s="145" t="s">
        <v>493</v>
      </c>
      <c r="T30" s="72">
        <v>46</v>
      </c>
      <c r="U30" s="82">
        <v>46</v>
      </c>
      <c r="V30" s="82">
        <v>46</v>
      </c>
      <c r="W30" s="82">
        <v>46</v>
      </c>
      <c r="X30" s="82">
        <v>46</v>
      </c>
      <c r="Y30" s="82">
        <v>46</v>
      </c>
      <c r="Z30" s="82">
        <v>46</v>
      </c>
      <c r="AA30" s="82">
        <v>46</v>
      </c>
      <c r="AB30" s="82">
        <v>46</v>
      </c>
      <c r="AC30" s="82">
        <v>46</v>
      </c>
      <c r="AD30" s="82">
        <v>46</v>
      </c>
      <c r="AE30" s="82">
        <v>46</v>
      </c>
      <c r="AF30" s="82">
        <v>46</v>
      </c>
      <c r="AG30" s="82" t="s">
        <v>143</v>
      </c>
      <c r="AH30" s="82" t="s">
        <v>143</v>
      </c>
      <c r="AI30" s="82" t="s">
        <v>143</v>
      </c>
      <c r="AJ30" s="82" t="s">
        <v>143</v>
      </c>
      <c r="AK30" s="82" t="s">
        <v>143</v>
      </c>
      <c r="AL30" s="82" t="s">
        <v>143</v>
      </c>
      <c r="AM30" s="82" t="s">
        <v>143</v>
      </c>
      <c r="AN30" s="82" t="s">
        <v>143</v>
      </c>
      <c r="AO30" s="82" t="s">
        <v>143</v>
      </c>
      <c r="AP30" s="82" t="s">
        <v>143</v>
      </c>
      <c r="AQ30" s="82" t="s">
        <v>143</v>
      </c>
      <c r="AR30" s="82" t="s">
        <v>143</v>
      </c>
      <c r="AS30" s="33" t="s">
        <v>143</v>
      </c>
    </row>
    <row r="31" spans="1:45" x14ac:dyDescent="0.2">
      <c r="A31" s="276"/>
      <c r="B31" s="231" t="str">
        <f t="shared" si="0"/>
        <v>5.7.5 / 7.7.4</v>
      </c>
      <c r="C31" s="231"/>
      <c r="D31" s="15" t="s">
        <v>5</v>
      </c>
      <c r="E31" s="15">
        <f t="shared" si="1"/>
        <v>55</v>
      </c>
      <c r="F31" s="15" t="str">
        <f t="shared" si="2"/>
        <v>N/A</v>
      </c>
      <c r="G31" s="15" t="s">
        <v>54</v>
      </c>
      <c r="H31" s="15">
        <v>1</v>
      </c>
      <c r="I31" s="168"/>
      <c r="J31" s="168" t="s">
        <v>164</v>
      </c>
      <c r="K31" s="169" t="s">
        <v>164</v>
      </c>
      <c r="M31" s="143" t="s">
        <v>512</v>
      </c>
      <c r="N31" s="144" t="s">
        <v>530</v>
      </c>
      <c r="O31" s="144" t="s">
        <v>543</v>
      </c>
      <c r="P31" s="144" t="s">
        <v>445</v>
      </c>
      <c r="Q31" s="144" t="s">
        <v>469</v>
      </c>
      <c r="R31" s="145" t="s">
        <v>493</v>
      </c>
      <c r="T31" s="72">
        <v>55</v>
      </c>
      <c r="U31" s="82">
        <v>55</v>
      </c>
      <c r="V31" s="82">
        <v>55</v>
      </c>
      <c r="W31" s="82">
        <v>55</v>
      </c>
      <c r="X31" s="82">
        <v>55</v>
      </c>
      <c r="Y31" s="82">
        <v>55</v>
      </c>
      <c r="Z31" s="82">
        <v>55</v>
      </c>
      <c r="AA31" s="82">
        <v>55</v>
      </c>
      <c r="AB31" s="82">
        <v>55</v>
      </c>
      <c r="AC31" s="82">
        <v>55</v>
      </c>
      <c r="AD31" s="82">
        <v>55</v>
      </c>
      <c r="AE31" s="82">
        <v>55</v>
      </c>
      <c r="AF31" s="82">
        <v>55</v>
      </c>
      <c r="AG31" s="82" t="s">
        <v>143</v>
      </c>
      <c r="AH31" s="82" t="s">
        <v>143</v>
      </c>
      <c r="AI31" s="82" t="s">
        <v>143</v>
      </c>
      <c r="AJ31" s="82" t="s">
        <v>143</v>
      </c>
      <c r="AK31" s="82" t="s">
        <v>143</v>
      </c>
      <c r="AL31" s="82" t="s">
        <v>143</v>
      </c>
      <c r="AM31" s="82" t="s">
        <v>143</v>
      </c>
      <c r="AN31" s="82" t="s">
        <v>143</v>
      </c>
      <c r="AO31" s="82" t="s">
        <v>143</v>
      </c>
      <c r="AP31" s="82" t="s">
        <v>143</v>
      </c>
      <c r="AQ31" s="82" t="s">
        <v>143</v>
      </c>
      <c r="AR31" s="82" t="s">
        <v>143</v>
      </c>
      <c r="AS31" s="33" t="s">
        <v>143</v>
      </c>
    </row>
    <row r="32" spans="1:45" x14ac:dyDescent="0.2">
      <c r="A32" s="276"/>
      <c r="B32" s="231" t="str">
        <f t="shared" si="0"/>
        <v>5.7.5 / 7.7.4</v>
      </c>
      <c r="C32" s="231"/>
      <c r="D32" s="15" t="s">
        <v>2</v>
      </c>
      <c r="E32" s="15">
        <f t="shared" si="1"/>
        <v>46</v>
      </c>
      <c r="F32" s="15" t="str">
        <f t="shared" si="2"/>
        <v>N/A</v>
      </c>
      <c r="G32" s="15" t="s">
        <v>54</v>
      </c>
      <c r="H32" s="15">
        <v>1</v>
      </c>
      <c r="I32" s="168"/>
      <c r="J32" s="168" t="s">
        <v>164</v>
      </c>
      <c r="K32" s="169" t="s">
        <v>164</v>
      </c>
      <c r="M32" s="143" t="s">
        <v>512</v>
      </c>
      <c r="N32" s="144" t="s">
        <v>530</v>
      </c>
      <c r="O32" s="144" t="s">
        <v>543</v>
      </c>
      <c r="P32" s="144" t="s">
        <v>445</v>
      </c>
      <c r="Q32" s="144" t="s">
        <v>469</v>
      </c>
      <c r="R32" s="145" t="s">
        <v>493</v>
      </c>
      <c r="T32" s="72">
        <v>46</v>
      </c>
      <c r="U32" s="82">
        <v>46</v>
      </c>
      <c r="V32" s="82">
        <v>46</v>
      </c>
      <c r="W32" s="82">
        <v>46</v>
      </c>
      <c r="X32" s="82">
        <v>46</v>
      </c>
      <c r="Y32" s="82">
        <v>46</v>
      </c>
      <c r="Z32" s="82">
        <v>46</v>
      </c>
      <c r="AA32" s="82">
        <v>46</v>
      </c>
      <c r="AB32" s="82">
        <v>46</v>
      </c>
      <c r="AC32" s="82">
        <v>46</v>
      </c>
      <c r="AD32" s="82">
        <v>46</v>
      </c>
      <c r="AE32" s="82">
        <v>46</v>
      </c>
      <c r="AF32" s="82">
        <v>46</v>
      </c>
      <c r="AG32" s="82" t="s">
        <v>143</v>
      </c>
      <c r="AH32" s="82" t="s">
        <v>143</v>
      </c>
      <c r="AI32" s="82" t="s">
        <v>143</v>
      </c>
      <c r="AJ32" s="82" t="s">
        <v>143</v>
      </c>
      <c r="AK32" s="82" t="s">
        <v>143</v>
      </c>
      <c r="AL32" s="82" t="s">
        <v>143</v>
      </c>
      <c r="AM32" s="82" t="s">
        <v>143</v>
      </c>
      <c r="AN32" s="82" t="s">
        <v>143</v>
      </c>
      <c r="AO32" s="82" t="s">
        <v>143</v>
      </c>
      <c r="AP32" s="82" t="s">
        <v>143</v>
      </c>
      <c r="AQ32" s="82" t="s">
        <v>143</v>
      </c>
      <c r="AR32" s="82" t="s">
        <v>143</v>
      </c>
      <c r="AS32" s="33" t="s">
        <v>143</v>
      </c>
    </row>
    <row r="33" spans="1:45" x14ac:dyDescent="0.2">
      <c r="A33" s="276" t="s">
        <v>17</v>
      </c>
      <c r="B33" s="231" t="str">
        <f t="shared" si="0"/>
        <v>5.8.1 / 7.8.1</v>
      </c>
      <c r="C33" s="89" t="s">
        <v>230</v>
      </c>
      <c r="D33" s="15"/>
      <c r="E33" s="15" t="str">
        <f t="shared" si="1"/>
        <v>mask</v>
      </c>
      <c r="F33" s="16" t="str">
        <f t="shared" si="2"/>
        <v>N/A</v>
      </c>
      <c r="G33" s="16" t="s">
        <v>21</v>
      </c>
      <c r="H33" s="16">
        <v>1</v>
      </c>
      <c r="I33" s="180"/>
      <c r="J33" s="180" t="s">
        <v>164</v>
      </c>
      <c r="K33" s="181" t="s">
        <v>164</v>
      </c>
      <c r="M33" s="143" t="s">
        <v>514</v>
      </c>
      <c r="N33" s="144" t="s">
        <v>531</v>
      </c>
      <c r="O33" s="144" t="s">
        <v>446</v>
      </c>
      <c r="P33" s="144" t="s">
        <v>446</v>
      </c>
      <c r="Q33" s="144" t="s">
        <v>470</v>
      </c>
      <c r="R33" s="145" t="s">
        <v>494</v>
      </c>
      <c r="T33" s="72" t="s">
        <v>144</v>
      </c>
      <c r="U33" s="82" t="s">
        <v>144</v>
      </c>
      <c r="V33" s="82" t="s">
        <v>144</v>
      </c>
      <c r="W33" s="82" t="s">
        <v>144</v>
      </c>
      <c r="X33" s="82" t="s">
        <v>144</v>
      </c>
      <c r="Y33" s="82" t="s">
        <v>144</v>
      </c>
      <c r="Z33" s="82" t="s">
        <v>144</v>
      </c>
      <c r="AA33" s="82" t="s">
        <v>144</v>
      </c>
      <c r="AB33" s="82" t="s">
        <v>144</v>
      </c>
      <c r="AC33" s="82" t="s">
        <v>144</v>
      </c>
      <c r="AD33" s="82" t="s">
        <v>144</v>
      </c>
      <c r="AE33" s="82" t="s">
        <v>144</v>
      </c>
      <c r="AF33" s="82" t="s">
        <v>144</v>
      </c>
      <c r="AG33" s="82" t="s">
        <v>143</v>
      </c>
      <c r="AH33" s="82" t="s">
        <v>143</v>
      </c>
      <c r="AI33" s="82" t="s">
        <v>143</v>
      </c>
      <c r="AJ33" s="82" t="s">
        <v>143</v>
      </c>
      <c r="AK33" s="82" t="s">
        <v>143</v>
      </c>
      <c r="AL33" s="82" t="s">
        <v>143</v>
      </c>
      <c r="AM33" s="82" t="s">
        <v>143</v>
      </c>
      <c r="AN33" s="82" t="s">
        <v>143</v>
      </c>
      <c r="AO33" s="82" t="s">
        <v>143</v>
      </c>
      <c r="AP33" s="82" t="s">
        <v>143</v>
      </c>
      <c r="AQ33" s="82" t="s">
        <v>143</v>
      </c>
      <c r="AR33" s="82" t="s">
        <v>143</v>
      </c>
      <c r="AS33" s="33" t="s">
        <v>143</v>
      </c>
    </row>
    <row r="34" spans="1:45" x14ac:dyDescent="0.2">
      <c r="A34" s="276"/>
      <c r="B34" s="231" t="str">
        <f t="shared" si="0"/>
        <v>× / 7.8.1</v>
      </c>
      <c r="C34" s="98" t="s">
        <v>233</v>
      </c>
      <c r="D34" s="15"/>
      <c r="E34" s="15" t="str">
        <f t="shared" si="1"/>
        <v>mask</v>
      </c>
      <c r="F34" s="16" t="str">
        <f t="shared" si="2"/>
        <v>N/A</v>
      </c>
      <c r="G34" s="16" t="s">
        <v>21</v>
      </c>
      <c r="H34" s="16">
        <v>1</v>
      </c>
      <c r="I34" s="180"/>
      <c r="J34" s="180" t="s">
        <v>164</v>
      </c>
      <c r="K34" s="181" t="s">
        <v>164</v>
      </c>
      <c r="M34" s="143" t="s">
        <v>515</v>
      </c>
      <c r="N34" s="144" t="s">
        <v>531</v>
      </c>
      <c r="O34" s="144" t="s">
        <v>446</v>
      </c>
      <c r="P34" s="144" t="s">
        <v>446</v>
      </c>
      <c r="Q34" s="144" t="s">
        <v>470</v>
      </c>
      <c r="R34" s="145" t="s">
        <v>494</v>
      </c>
      <c r="T34" s="72" t="s">
        <v>144</v>
      </c>
      <c r="U34" s="82" t="s">
        <v>144</v>
      </c>
      <c r="V34" s="82" t="s">
        <v>144</v>
      </c>
      <c r="W34" s="82" t="s">
        <v>144</v>
      </c>
      <c r="X34" s="82" t="s">
        <v>144</v>
      </c>
      <c r="Y34" s="82" t="s">
        <v>144</v>
      </c>
      <c r="Z34" s="82" t="s">
        <v>144</v>
      </c>
      <c r="AA34" s="82" t="s">
        <v>144</v>
      </c>
      <c r="AB34" s="82" t="s">
        <v>144</v>
      </c>
      <c r="AC34" s="82" t="s">
        <v>144</v>
      </c>
      <c r="AD34" s="82" t="s">
        <v>144</v>
      </c>
      <c r="AE34" s="82" t="s">
        <v>144</v>
      </c>
      <c r="AF34" s="82" t="s">
        <v>144</v>
      </c>
      <c r="AG34" s="82" t="s">
        <v>143</v>
      </c>
      <c r="AH34" s="82" t="s">
        <v>143</v>
      </c>
      <c r="AI34" s="82" t="s">
        <v>143</v>
      </c>
      <c r="AJ34" s="82" t="s">
        <v>143</v>
      </c>
      <c r="AK34" s="82" t="s">
        <v>143</v>
      </c>
      <c r="AL34" s="82" t="s">
        <v>143</v>
      </c>
      <c r="AM34" s="82" t="s">
        <v>143</v>
      </c>
      <c r="AN34" s="82" t="s">
        <v>143</v>
      </c>
      <c r="AO34" s="82" t="s">
        <v>143</v>
      </c>
      <c r="AP34" s="82" t="s">
        <v>143</v>
      </c>
      <c r="AQ34" s="82" t="s">
        <v>143</v>
      </c>
      <c r="AR34" s="82" t="s">
        <v>143</v>
      </c>
      <c r="AS34" s="33" t="s">
        <v>143</v>
      </c>
    </row>
    <row r="35" spans="1:45" x14ac:dyDescent="0.2">
      <c r="A35" s="276"/>
      <c r="B35" s="231" t="str">
        <f t="shared" si="0"/>
        <v>5.8.2 / 7.8.2</v>
      </c>
      <c r="C35" s="231" t="s">
        <v>231</v>
      </c>
      <c r="D35" s="15" t="s">
        <v>18</v>
      </c>
      <c r="E35" s="15" t="str">
        <f t="shared" si="1"/>
        <v>mask</v>
      </c>
      <c r="F35" s="16" t="str">
        <f t="shared" si="2"/>
        <v>N/A</v>
      </c>
      <c r="G35" s="16" t="s">
        <v>21</v>
      </c>
      <c r="H35" s="16">
        <v>1</v>
      </c>
      <c r="I35" s="180"/>
      <c r="J35" s="180" t="s">
        <v>164</v>
      </c>
      <c r="K35" s="181" t="s">
        <v>164</v>
      </c>
      <c r="M35" s="143" t="s">
        <v>516</v>
      </c>
      <c r="N35" s="144" t="s">
        <v>532</v>
      </c>
      <c r="O35" s="144" t="s">
        <v>448</v>
      </c>
      <c r="P35" s="144" t="s">
        <v>448</v>
      </c>
      <c r="Q35" s="144" t="s">
        <v>471</v>
      </c>
      <c r="R35" s="145" t="s">
        <v>496</v>
      </c>
      <c r="T35" s="72" t="s">
        <v>144</v>
      </c>
      <c r="U35" s="82" t="s">
        <v>144</v>
      </c>
      <c r="V35" s="82" t="s">
        <v>144</v>
      </c>
      <c r="W35" s="82" t="s">
        <v>144</v>
      </c>
      <c r="X35" s="82" t="s">
        <v>144</v>
      </c>
      <c r="Y35" s="82" t="s">
        <v>144</v>
      </c>
      <c r="Z35" s="82" t="s">
        <v>144</v>
      </c>
      <c r="AA35" s="82" t="s">
        <v>144</v>
      </c>
      <c r="AB35" s="82" t="s">
        <v>144</v>
      </c>
      <c r="AC35" s="82" t="s">
        <v>144</v>
      </c>
      <c r="AD35" s="82" t="s">
        <v>144</v>
      </c>
      <c r="AE35" s="82" t="s">
        <v>144</v>
      </c>
      <c r="AF35" s="82" t="s">
        <v>144</v>
      </c>
      <c r="AG35" s="82" t="s">
        <v>143</v>
      </c>
      <c r="AH35" s="82" t="s">
        <v>143</v>
      </c>
      <c r="AI35" s="82" t="s">
        <v>143</v>
      </c>
      <c r="AJ35" s="82" t="s">
        <v>143</v>
      </c>
      <c r="AK35" s="82" t="s">
        <v>143</v>
      </c>
      <c r="AL35" s="82" t="s">
        <v>143</v>
      </c>
      <c r="AM35" s="82" t="s">
        <v>143</v>
      </c>
      <c r="AN35" s="82" t="s">
        <v>143</v>
      </c>
      <c r="AO35" s="82" t="s">
        <v>143</v>
      </c>
      <c r="AP35" s="82" t="s">
        <v>143</v>
      </c>
      <c r="AQ35" s="82" t="s">
        <v>143</v>
      </c>
      <c r="AR35" s="82" t="s">
        <v>143</v>
      </c>
      <c r="AS35" s="33" t="s">
        <v>143</v>
      </c>
    </row>
    <row r="36" spans="1:45" x14ac:dyDescent="0.2">
      <c r="A36" s="276"/>
      <c r="B36" s="231" t="str">
        <f t="shared" si="0"/>
        <v>5.8.2 / 7.8.2</v>
      </c>
      <c r="C36" s="231"/>
      <c r="D36" s="15" t="s">
        <v>5</v>
      </c>
      <c r="E36" s="15" t="str">
        <f t="shared" si="1"/>
        <v>mask</v>
      </c>
      <c r="F36" s="16" t="str">
        <f t="shared" si="2"/>
        <v>N/A</v>
      </c>
      <c r="G36" s="16" t="s">
        <v>21</v>
      </c>
      <c r="H36" s="16">
        <v>1</v>
      </c>
      <c r="I36" s="180"/>
      <c r="J36" s="180" t="s">
        <v>164</v>
      </c>
      <c r="K36" s="181" t="s">
        <v>164</v>
      </c>
      <c r="M36" s="143" t="s">
        <v>516</v>
      </c>
      <c r="N36" s="144" t="s">
        <v>532</v>
      </c>
      <c r="O36" s="144" t="s">
        <v>448</v>
      </c>
      <c r="P36" s="144" t="s">
        <v>448</v>
      </c>
      <c r="Q36" s="144" t="s">
        <v>471</v>
      </c>
      <c r="R36" s="145" t="s">
        <v>496</v>
      </c>
      <c r="T36" s="72" t="s">
        <v>144</v>
      </c>
      <c r="U36" s="82" t="s">
        <v>144</v>
      </c>
      <c r="V36" s="82" t="s">
        <v>144</v>
      </c>
      <c r="W36" s="82" t="s">
        <v>144</v>
      </c>
      <c r="X36" s="82" t="s">
        <v>144</v>
      </c>
      <c r="Y36" s="82" t="s">
        <v>144</v>
      </c>
      <c r="Z36" s="82" t="s">
        <v>144</v>
      </c>
      <c r="AA36" s="82" t="s">
        <v>144</v>
      </c>
      <c r="AB36" s="82" t="s">
        <v>144</v>
      </c>
      <c r="AC36" s="82" t="s">
        <v>144</v>
      </c>
      <c r="AD36" s="82" t="s">
        <v>144</v>
      </c>
      <c r="AE36" s="82" t="s">
        <v>144</v>
      </c>
      <c r="AF36" s="82" t="s">
        <v>144</v>
      </c>
      <c r="AG36" s="82" t="s">
        <v>143</v>
      </c>
      <c r="AH36" s="82" t="s">
        <v>143</v>
      </c>
      <c r="AI36" s="82" t="s">
        <v>143</v>
      </c>
      <c r="AJ36" s="82" t="s">
        <v>143</v>
      </c>
      <c r="AK36" s="82" t="s">
        <v>143</v>
      </c>
      <c r="AL36" s="82" t="s">
        <v>143</v>
      </c>
      <c r="AM36" s="82" t="s">
        <v>143</v>
      </c>
      <c r="AN36" s="82" t="s">
        <v>143</v>
      </c>
      <c r="AO36" s="82" t="s">
        <v>143</v>
      </c>
      <c r="AP36" s="82" t="s">
        <v>143</v>
      </c>
      <c r="AQ36" s="82" t="s">
        <v>143</v>
      </c>
      <c r="AR36" s="82" t="s">
        <v>143</v>
      </c>
      <c r="AS36" s="33" t="s">
        <v>143</v>
      </c>
    </row>
    <row r="37" spans="1:45" x14ac:dyDescent="0.2">
      <c r="A37" s="276"/>
      <c r="B37" s="231" t="str">
        <f t="shared" si="0"/>
        <v>5.8.2 / 7.8.2</v>
      </c>
      <c r="C37" s="259" t="s">
        <v>232</v>
      </c>
      <c r="D37" s="15" t="s">
        <v>0</v>
      </c>
      <c r="E37" s="15" t="str">
        <f t="shared" si="1"/>
        <v>mask</v>
      </c>
      <c r="F37" s="16" t="str">
        <f t="shared" si="2"/>
        <v>N/A</v>
      </c>
      <c r="G37" s="16" t="s">
        <v>21</v>
      </c>
      <c r="H37" s="16">
        <v>1</v>
      </c>
      <c r="I37" s="180"/>
      <c r="J37" s="180" t="s">
        <v>164</v>
      </c>
      <c r="K37" s="181" t="s">
        <v>164</v>
      </c>
      <c r="M37" s="143" t="s">
        <v>516</v>
      </c>
      <c r="N37" s="144" t="s">
        <v>532</v>
      </c>
      <c r="O37" s="144" t="s">
        <v>448</v>
      </c>
      <c r="P37" s="144" t="s">
        <v>448</v>
      </c>
      <c r="Q37" s="144" t="s">
        <v>471</v>
      </c>
      <c r="R37" s="145" t="s">
        <v>496</v>
      </c>
      <c r="T37" s="72" t="s">
        <v>144</v>
      </c>
      <c r="U37" s="82" t="s">
        <v>144</v>
      </c>
      <c r="V37" s="82" t="s">
        <v>144</v>
      </c>
      <c r="W37" s="82" t="s">
        <v>144</v>
      </c>
      <c r="X37" s="82" t="s">
        <v>144</v>
      </c>
      <c r="Y37" s="82" t="s">
        <v>144</v>
      </c>
      <c r="Z37" s="82" t="s">
        <v>144</v>
      </c>
      <c r="AA37" s="82" t="s">
        <v>144</v>
      </c>
      <c r="AB37" s="82" t="s">
        <v>144</v>
      </c>
      <c r="AC37" s="82" t="s">
        <v>144</v>
      </c>
      <c r="AD37" s="82" t="s">
        <v>144</v>
      </c>
      <c r="AE37" s="82" t="s">
        <v>144</v>
      </c>
      <c r="AF37" s="82" t="s">
        <v>144</v>
      </c>
      <c r="AG37" s="82" t="s">
        <v>143</v>
      </c>
      <c r="AH37" s="82" t="s">
        <v>143</v>
      </c>
      <c r="AI37" s="82" t="s">
        <v>143</v>
      </c>
      <c r="AJ37" s="82" t="s">
        <v>143</v>
      </c>
      <c r="AK37" s="82" t="s">
        <v>143</v>
      </c>
      <c r="AL37" s="82" t="s">
        <v>143</v>
      </c>
      <c r="AM37" s="82" t="s">
        <v>143</v>
      </c>
      <c r="AN37" s="82" t="s">
        <v>143</v>
      </c>
      <c r="AO37" s="82" t="s">
        <v>143</v>
      </c>
      <c r="AP37" s="82" t="s">
        <v>143</v>
      </c>
      <c r="AQ37" s="82" t="s">
        <v>143</v>
      </c>
      <c r="AR37" s="82" t="s">
        <v>143</v>
      </c>
      <c r="AS37" s="33" t="s">
        <v>143</v>
      </c>
    </row>
    <row r="38" spans="1:45" x14ac:dyDescent="0.2">
      <c r="A38" s="276"/>
      <c r="B38" s="231" t="str">
        <f t="shared" si="0"/>
        <v>5.8.2 / 7.8.2</v>
      </c>
      <c r="C38" s="231"/>
      <c r="D38" s="15" t="s">
        <v>5</v>
      </c>
      <c r="E38" s="15" t="str">
        <f t="shared" si="1"/>
        <v>mask</v>
      </c>
      <c r="F38" s="16" t="str">
        <f t="shared" si="2"/>
        <v>N/A</v>
      </c>
      <c r="G38" s="16" t="s">
        <v>21</v>
      </c>
      <c r="H38" s="16">
        <v>1</v>
      </c>
      <c r="I38" s="180"/>
      <c r="J38" s="180" t="s">
        <v>164</v>
      </c>
      <c r="K38" s="181" t="s">
        <v>164</v>
      </c>
      <c r="M38" s="143" t="s">
        <v>516</v>
      </c>
      <c r="N38" s="144" t="s">
        <v>532</v>
      </c>
      <c r="O38" s="144" t="s">
        <v>448</v>
      </c>
      <c r="P38" s="144" t="s">
        <v>448</v>
      </c>
      <c r="Q38" s="144" t="s">
        <v>471</v>
      </c>
      <c r="R38" s="145" t="s">
        <v>496</v>
      </c>
      <c r="T38" s="72" t="s">
        <v>144</v>
      </c>
      <c r="U38" s="82" t="s">
        <v>144</v>
      </c>
      <c r="V38" s="82" t="s">
        <v>144</v>
      </c>
      <c r="W38" s="82" t="s">
        <v>144</v>
      </c>
      <c r="X38" s="82" t="s">
        <v>144</v>
      </c>
      <c r="Y38" s="82" t="s">
        <v>144</v>
      </c>
      <c r="Z38" s="82" t="s">
        <v>144</v>
      </c>
      <c r="AA38" s="82" t="s">
        <v>144</v>
      </c>
      <c r="AB38" s="82" t="s">
        <v>144</v>
      </c>
      <c r="AC38" s="82" t="s">
        <v>144</v>
      </c>
      <c r="AD38" s="82" t="s">
        <v>144</v>
      </c>
      <c r="AE38" s="82" t="s">
        <v>144</v>
      </c>
      <c r="AF38" s="82" t="s">
        <v>144</v>
      </c>
      <c r="AG38" s="82" t="s">
        <v>143</v>
      </c>
      <c r="AH38" s="82" t="s">
        <v>143</v>
      </c>
      <c r="AI38" s="82" t="s">
        <v>143</v>
      </c>
      <c r="AJ38" s="82" t="s">
        <v>143</v>
      </c>
      <c r="AK38" s="82" t="s">
        <v>143</v>
      </c>
      <c r="AL38" s="82" t="s">
        <v>143</v>
      </c>
      <c r="AM38" s="82" t="s">
        <v>143</v>
      </c>
      <c r="AN38" s="82" t="s">
        <v>143</v>
      </c>
      <c r="AO38" s="82" t="s">
        <v>143</v>
      </c>
      <c r="AP38" s="82" t="s">
        <v>143</v>
      </c>
      <c r="AQ38" s="82" t="s">
        <v>143</v>
      </c>
      <c r="AR38" s="82" t="s">
        <v>143</v>
      </c>
      <c r="AS38" s="33" t="s">
        <v>143</v>
      </c>
    </row>
    <row r="39" spans="1:45" x14ac:dyDescent="0.2">
      <c r="A39" s="132" t="s">
        <v>179</v>
      </c>
      <c r="B39" s="115" t="str">
        <f t="shared" si="0"/>
        <v>5.12.2.1 / 7.10</v>
      </c>
      <c r="C39" s="15" t="s">
        <v>67</v>
      </c>
      <c r="D39" s="15" t="s">
        <v>19</v>
      </c>
      <c r="E39" s="15">
        <f t="shared" si="1"/>
        <v>0</v>
      </c>
      <c r="F39" s="15">
        <f t="shared" si="2"/>
        <v>190</v>
      </c>
      <c r="G39" s="15" t="s">
        <v>52</v>
      </c>
      <c r="H39" s="15">
        <v>1</v>
      </c>
      <c r="I39" s="168"/>
      <c r="J39" s="168" t="s">
        <v>164</v>
      </c>
      <c r="K39" s="169" t="s">
        <v>164</v>
      </c>
      <c r="M39" s="143" t="s">
        <v>517</v>
      </c>
      <c r="N39" s="144" t="s">
        <v>533</v>
      </c>
      <c r="O39" s="144" t="s">
        <v>544</v>
      </c>
      <c r="P39" s="144" t="s">
        <v>450</v>
      </c>
      <c r="Q39" s="144" t="s">
        <v>474</v>
      </c>
      <c r="R39" s="145" t="s">
        <v>497</v>
      </c>
      <c r="T39" s="72">
        <v>0</v>
      </c>
      <c r="U39" s="82">
        <v>0</v>
      </c>
      <c r="V39" s="82">
        <v>0</v>
      </c>
      <c r="W39" s="82">
        <v>0</v>
      </c>
      <c r="X39" s="82">
        <v>0</v>
      </c>
      <c r="Y39" s="82">
        <v>0</v>
      </c>
      <c r="Z39" s="82">
        <v>0</v>
      </c>
      <c r="AA39" s="82">
        <v>0</v>
      </c>
      <c r="AB39" s="82">
        <v>0</v>
      </c>
      <c r="AC39" s="82">
        <v>0</v>
      </c>
      <c r="AD39" s="82">
        <v>0</v>
      </c>
      <c r="AE39" s="82">
        <v>0</v>
      </c>
      <c r="AF39" s="82">
        <v>0</v>
      </c>
      <c r="AG39" s="82">
        <v>220</v>
      </c>
      <c r="AH39" s="82">
        <v>220</v>
      </c>
      <c r="AI39" s="82">
        <v>190</v>
      </c>
      <c r="AJ39" s="82">
        <v>190</v>
      </c>
      <c r="AK39" s="82">
        <v>190</v>
      </c>
      <c r="AL39" s="82">
        <v>190</v>
      </c>
      <c r="AM39" s="82">
        <v>190</v>
      </c>
      <c r="AN39" s="82">
        <v>220</v>
      </c>
      <c r="AO39" s="82">
        <v>220</v>
      </c>
      <c r="AP39" s="82">
        <v>220</v>
      </c>
      <c r="AQ39" s="82">
        <v>220</v>
      </c>
      <c r="AR39" s="82" t="s">
        <v>143</v>
      </c>
      <c r="AS39" s="33" t="s">
        <v>143</v>
      </c>
    </row>
    <row r="40" spans="1:45" x14ac:dyDescent="0.2">
      <c r="A40" s="277" t="s">
        <v>20</v>
      </c>
      <c r="B40" s="221" t="str">
        <f t="shared" si="0"/>
        <v>5.13.2 / 7.11</v>
      </c>
      <c r="C40" s="221" t="s">
        <v>172</v>
      </c>
      <c r="D40" s="73" t="s">
        <v>661</v>
      </c>
      <c r="E40" s="73">
        <f t="shared" si="1"/>
        <v>0.9</v>
      </c>
      <c r="F40" s="73">
        <f t="shared" si="2"/>
        <v>1</v>
      </c>
      <c r="G40" s="73" t="s">
        <v>345</v>
      </c>
      <c r="H40" s="73">
        <v>1</v>
      </c>
      <c r="I40" s="178"/>
      <c r="J40" s="178" t="s">
        <v>164</v>
      </c>
      <c r="K40" s="179" t="s">
        <v>164</v>
      </c>
      <c r="M40" s="143" t="s">
        <v>518</v>
      </c>
      <c r="N40" s="144" t="s">
        <v>534</v>
      </c>
      <c r="O40" s="144" t="s">
        <v>546</v>
      </c>
      <c r="P40" s="144" t="s">
        <v>579</v>
      </c>
      <c r="Q40" s="144" t="s">
        <v>473</v>
      </c>
      <c r="R40" s="145" t="s">
        <v>499</v>
      </c>
      <c r="T40" s="186">
        <v>0.9</v>
      </c>
      <c r="U40" s="187">
        <v>0.9</v>
      </c>
      <c r="V40" s="187">
        <v>0.9</v>
      </c>
      <c r="W40" s="187">
        <v>0.9</v>
      </c>
      <c r="X40" s="187">
        <v>0.9</v>
      </c>
      <c r="Y40" s="187">
        <v>0.9</v>
      </c>
      <c r="Z40" s="187">
        <v>0.9</v>
      </c>
      <c r="AA40" s="187">
        <v>0.9</v>
      </c>
      <c r="AB40" s="187">
        <v>0.9</v>
      </c>
      <c r="AC40" s="187">
        <v>0.9</v>
      </c>
      <c r="AD40" s="187">
        <v>0.9</v>
      </c>
      <c r="AE40" s="187">
        <v>0.9</v>
      </c>
      <c r="AF40" s="187">
        <v>0.9</v>
      </c>
      <c r="AG40" s="187">
        <v>1</v>
      </c>
      <c r="AH40" s="187">
        <v>1</v>
      </c>
      <c r="AI40" s="187">
        <v>1</v>
      </c>
      <c r="AJ40" s="187">
        <v>1</v>
      </c>
      <c r="AK40" s="187">
        <v>1</v>
      </c>
      <c r="AL40" s="187">
        <v>1</v>
      </c>
      <c r="AM40" s="187">
        <v>1</v>
      </c>
      <c r="AN40" s="187">
        <v>1</v>
      </c>
      <c r="AO40" s="187">
        <v>1</v>
      </c>
      <c r="AP40" s="187">
        <v>1</v>
      </c>
      <c r="AQ40" s="187">
        <v>1</v>
      </c>
      <c r="AR40" s="187">
        <v>1</v>
      </c>
      <c r="AS40" s="188">
        <v>1</v>
      </c>
    </row>
    <row r="41" spans="1:45" x14ac:dyDescent="0.2">
      <c r="A41" s="268"/>
      <c r="B41" s="257"/>
      <c r="C41" s="222"/>
      <c r="D41" s="159" t="s">
        <v>655</v>
      </c>
      <c r="E41" s="159">
        <f t="shared" si="1"/>
        <v>0.95</v>
      </c>
      <c r="F41" s="15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159" t="s">
        <v>344</v>
      </c>
      <c r="H41" s="159">
        <v>1</v>
      </c>
      <c r="I41" s="178"/>
      <c r="J41" s="178" t="s">
        <v>164</v>
      </c>
      <c r="K41" s="179" t="s">
        <v>164</v>
      </c>
      <c r="M41" s="143" t="s">
        <v>662</v>
      </c>
      <c r="N41" s="144" t="s">
        <v>663</v>
      </c>
      <c r="O41" s="144" t="s">
        <v>545</v>
      </c>
      <c r="P41" s="144" t="s">
        <v>578</v>
      </c>
      <c r="Q41" s="144" t="s">
        <v>472</v>
      </c>
      <c r="R41" s="145" t="s">
        <v>498</v>
      </c>
      <c r="T41" s="186">
        <v>0.95</v>
      </c>
      <c r="U41" s="187">
        <v>0.95</v>
      </c>
      <c r="V41" s="187">
        <v>0.95</v>
      </c>
      <c r="W41" s="187">
        <v>0.95</v>
      </c>
      <c r="X41" s="187">
        <v>0.95</v>
      </c>
      <c r="Y41" s="187">
        <v>0.95</v>
      </c>
      <c r="Z41" s="187">
        <v>0.95</v>
      </c>
      <c r="AA41" s="187">
        <v>0.95</v>
      </c>
      <c r="AB41" s="187">
        <v>0.95</v>
      </c>
      <c r="AC41" s="187">
        <v>0.95</v>
      </c>
      <c r="AD41" s="187">
        <v>0.95</v>
      </c>
      <c r="AE41" s="187">
        <v>0.95</v>
      </c>
      <c r="AF41" s="187">
        <v>0.95</v>
      </c>
      <c r="AG41" s="187">
        <v>1</v>
      </c>
      <c r="AH41" s="187">
        <v>1</v>
      </c>
      <c r="AI41" s="187">
        <v>1</v>
      </c>
      <c r="AJ41" s="187">
        <v>1</v>
      </c>
      <c r="AK41" s="187">
        <v>1</v>
      </c>
      <c r="AL41" s="187">
        <v>1</v>
      </c>
      <c r="AM41" s="187">
        <v>1</v>
      </c>
      <c r="AN41" s="187">
        <v>1</v>
      </c>
      <c r="AO41" s="187">
        <v>1</v>
      </c>
      <c r="AP41" s="187">
        <v>1</v>
      </c>
      <c r="AQ41" s="187">
        <v>1</v>
      </c>
      <c r="AR41" s="187">
        <v>1</v>
      </c>
      <c r="AS41" s="188">
        <v>1</v>
      </c>
    </row>
    <row r="42" spans="1:45" x14ac:dyDescent="0.2">
      <c r="A42" s="268"/>
      <c r="B42" s="257" t="str">
        <f t="shared" si="0"/>
        <v>5.13.2 / 7.11</v>
      </c>
      <c r="C42" s="73" t="s">
        <v>174</v>
      </c>
      <c r="D42" s="73" t="s">
        <v>655</v>
      </c>
      <c r="E42" s="73">
        <f t="shared" si="1"/>
        <v>0.95</v>
      </c>
      <c r="F42" s="73">
        <f t="shared" si="3"/>
        <v>1</v>
      </c>
      <c r="G42" s="73" t="s">
        <v>344</v>
      </c>
      <c r="H42" s="73">
        <v>1</v>
      </c>
      <c r="I42" s="178"/>
      <c r="J42" s="178" t="s">
        <v>164</v>
      </c>
      <c r="K42" s="179" t="s">
        <v>164</v>
      </c>
      <c r="M42" s="143" t="s">
        <v>662</v>
      </c>
      <c r="N42" s="144" t="s">
        <v>663</v>
      </c>
      <c r="O42" s="144" t="s">
        <v>545</v>
      </c>
      <c r="P42" s="144" t="s">
        <v>578</v>
      </c>
      <c r="Q42" s="144" t="s">
        <v>472</v>
      </c>
      <c r="R42" s="145" t="s">
        <v>498</v>
      </c>
      <c r="T42" s="186">
        <v>0.95</v>
      </c>
      <c r="U42" s="187">
        <v>0.95</v>
      </c>
      <c r="V42" s="187">
        <v>0.95</v>
      </c>
      <c r="W42" s="187">
        <v>0.95</v>
      </c>
      <c r="X42" s="187">
        <v>0.95</v>
      </c>
      <c r="Y42" s="187">
        <v>0.95</v>
      </c>
      <c r="Z42" s="187">
        <v>0.95</v>
      </c>
      <c r="AA42" s="187">
        <v>0.95</v>
      </c>
      <c r="AB42" s="187">
        <v>0.95</v>
      </c>
      <c r="AC42" s="187">
        <v>0.95</v>
      </c>
      <c r="AD42" s="187">
        <v>0.95</v>
      </c>
      <c r="AE42" s="187">
        <v>0.95</v>
      </c>
      <c r="AF42" s="187">
        <v>0.95</v>
      </c>
      <c r="AG42" s="187">
        <v>1</v>
      </c>
      <c r="AH42" s="187">
        <v>1</v>
      </c>
      <c r="AI42" s="187">
        <v>1</v>
      </c>
      <c r="AJ42" s="187">
        <v>1</v>
      </c>
      <c r="AK42" s="187">
        <v>1</v>
      </c>
      <c r="AL42" s="187">
        <v>1</v>
      </c>
      <c r="AM42" s="187">
        <v>1</v>
      </c>
      <c r="AN42" s="187">
        <v>1</v>
      </c>
      <c r="AO42" s="187">
        <v>1</v>
      </c>
      <c r="AP42" s="187">
        <v>1</v>
      </c>
      <c r="AQ42" s="187">
        <v>1</v>
      </c>
      <c r="AR42" s="187">
        <v>1</v>
      </c>
      <c r="AS42" s="188">
        <v>1</v>
      </c>
    </row>
    <row r="43" spans="1:45" x14ac:dyDescent="0.2">
      <c r="A43" s="268"/>
      <c r="B43" s="257" t="str">
        <f t="shared" si="0"/>
        <v>5.13.2 / 7.11</v>
      </c>
      <c r="C43" s="221" t="s">
        <v>175</v>
      </c>
      <c r="D43" s="73" t="s">
        <v>657</v>
      </c>
      <c r="E43" s="73">
        <f t="shared" si="1"/>
        <v>0.9</v>
      </c>
      <c r="F43" s="73">
        <f t="shared" si="3"/>
        <v>1</v>
      </c>
      <c r="G43" s="73" t="s">
        <v>344</v>
      </c>
      <c r="H43" s="73">
        <v>1</v>
      </c>
      <c r="I43" s="178"/>
      <c r="J43" s="178" t="s">
        <v>164</v>
      </c>
      <c r="K43" s="179" t="s">
        <v>164</v>
      </c>
      <c r="M43" s="143" t="s">
        <v>662</v>
      </c>
      <c r="N43" s="144" t="s">
        <v>663</v>
      </c>
      <c r="O43" s="144" t="s">
        <v>545</v>
      </c>
      <c r="P43" s="144" t="s">
        <v>578</v>
      </c>
      <c r="Q43" s="144" t="s">
        <v>472</v>
      </c>
      <c r="R43" s="145" t="s">
        <v>498</v>
      </c>
      <c r="T43" s="186">
        <v>0.9</v>
      </c>
      <c r="U43" s="187">
        <v>0.9</v>
      </c>
      <c r="V43" s="187">
        <v>0.9</v>
      </c>
      <c r="W43" s="187">
        <v>0.9</v>
      </c>
      <c r="X43" s="187">
        <v>0.9</v>
      </c>
      <c r="Y43" s="187">
        <v>0.9</v>
      </c>
      <c r="Z43" s="187">
        <v>0.9</v>
      </c>
      <c r="AA43" s="187">
        <v>0.9</v>
      </c>
      <c r="AB43" s="187">
        <v>0.9</v>
      </c>
      <c r="AC43" s="187">
        <v>0.9</v>
      </c>
      <c r="AD43" s="187">
        <v>0.9</v>
      </c>
      <c r="AE43" s="187">
        <v>0.9</v>
      </c>
      <c r="AF43" s="187">
        <v>0.9</v>
      </c>
      <c r="AG43" s="187">
        <v>1</v>
      </c>
      <c r="AH43" s="187">
        <v>1</v>
      </c>
      <c r="AI43" s="187">
        <v>1</v>
      </c>
      <c r="AJ43" s="187">
        <v>1</v>
      </c>
      <c r="AK43" s="187">
        <v>1</v>
      </c>
      <c r="AL43" s="187">
        <v>1</v>
      </c>
      <c r="AM43" s="187">
        <v>1</v>
      </c>
      <c r="AN43" s="187">
        <v>1</v>
      </c>
      <c r="AO43" s="187">
        <v>1</v>
      </c>
      <c r="AP43" s="187">
        <v>1</v>
      </c>
      <c r="AQ43" s="187">
        <v>1</v>
      </c>
      <c r="AR43" s="187">
        <v>1</v>
      </c>
      <c r="AS43" s="188">
        <v>1</v>
      </c>
    </row>
    <row r="44" spans="1:45" x14ac:dyDescent="0.2">
      <c r="A44" s="268"/>
      <c r="B44" s="257"/>
      <c r="C44" s="222"/>
      <c r="D44" s="159" t="s">
        <v>655</v>
      </c>
      <c r="E44" s="159">
        <f t="shared" si="1"/>
        <v>0.95</v>
      </c>
      <c r="F44" s="159">
        <f t="shared" si="3"/>
        <v>1</v>
      </c>
      <c r="G44" s="159" t="s">
        <v>344</v>
      </c>
      <c r="H44" s="159">
        <v>1</v>
      </c>
      <c r="I44" s="178"/>
      <c r="J44" s="178" t="s">
        <v>164</v>
      </c>
      <c r="K44" s="179" t="s">
        <v>164</v>
      </c>
      <c r="M44" s="149" t="s">
        <v>662</v>
      </c>
      <c r="N44" s="150" t="s">
        <v>663</v>
      </c>
      <c r="O44" s="150" t="s">
        <v>545</v>
      </c>
      <c r="P44" s="150" t="s">
        <v>578</v>
      </c>
      <c r="Q44" s="150" t="s">
        <v>472</v>
      </c>
      <c r="R44" s="151" t="s">
        <v>498</v>
      </c>
      <c r="T44" s="186">
        <v>0.95</v>
      </c>
      <c r="U44" s="187">
        <v>0.95</v>
      </c>
      <c r="V44" s="187">
        <v>0.95</v>
      </c>
      <c r="W44" s="187">
        <v>0.95</v>
      </c>
      <c r="X44" s="187">
        <v>0.95</v>
      </c>
      <c r="Y44" s="187">
        <v>0.95</v>
      </c>
      <c r="Z44" s="187">
        <v>0.95</v>
      </c>
      <c r="AA44" s="187">
        <v>0.95</v>
      </c>
      <c r="AB44" s="187">
        <v>0.95</v>
      </c>
      <c r="AC44" s="187">
        <v>0.95</v>
      </c>
      <c r="AD44" s="187">
        <v>0.95</v>
      </c>
      <c r="AE44" s="187">
        <v>0.95</v>
      </c>
      <c r="AF44" s="187">
        <v>0.95</v>
      </c>
      <c r="AG44" s="187">
        <v>1</v>
      </c>
      <c r="AH44" s="187">
        <v>1</v>
      </c>
      <c r="AI44" s="187">
        <v>1</v>
      </c>
      <c r="AJ44" s="187">
        <v>1</v>
      </c>
      <c r="AK44" s="187">
        <v>1</v>
      </c>
      <c r="AL44" s="187">
        <v>1</v>
      </c>
      <c r="AM44" s="187">
        <v>1</v>
      </c>
      <c r="AN44" s="187">
        <v>1</v>
      </c>
      <c r="AO44" s="187">
        <v>1</v>
      </c>
      <c r="AP44" s="187">
        <v>1</v>
      </c>
      <c r="AQ44" s="187">
        <v>1</v>
      </c>
      <c r="AR44" s="187">
        <v>1</v>
      </c>
      <c r="AS44" s="188">
        <v>1</v>
      </c>
    </row>
    <row r="45" spans="1:45" ht="15" thickBot="1" x14ac:dyDescent="0.25">
      <c r="A45" s="269"/>
      <c r="B45" s="222" t="str">
        <f t="shared" si="0"/>
        <v>5.13.2 / 7.11</v>
      </c>
      <c r="C45" s="73" t="s">
        <v>176</v>
      </c>
      <c r="D45" s="73" t="s">
        <v>173</v>
      </c>
      <c r="E45" s="73">
        <f t="shared" si="1"/>
        <v>0.95</v>
      </c>
      <c r="F45" s="73">
        <f t="shared" si="2"/>
        <v>1</v>
      </c>
      <c r="G45" s="73" t="s">
        <v>344</v>
      </c>
      <c r="H45" s="73">
        <v>1</v>
      </c>
      <c r="I45" s="178"/>
      <c r="J45" s="178" t="s">
        <v>177</v>
      </c>
      <c r="K45" s="179" t="s">
        <v>177</v>
      </c>
      <c r="M45" s="149" t="s">
        <v>518</v>
      </c>
      <c r="N45" s="150" t="s">
        <v>534</v>
      </c>
      <c r="O45" s="150" t="s">
        <v>546</v>
      </c>
      <c r="P45" s="150" t="s">
        <v>578</v>
      </c>
      <c r="Q45" s="150" t="s">
        <v>472</v>
      </c>
      <c r="R45" s="151" t="s">
        <v>499</v>
      </c>
      <c r="T45" s="186">
        <v>0.95</v>
      </c>
      <c r="U45" s="187">
        <v>0.95</v>
      </c>
      <c r="V45" s="187">
        <v>0.95</v>
      </c>
      <c r="W45" s="187">
        <v>0.95</v>
      </c>
      <c r="X45" s="187">
        <v>0.95</v>
      </c>
      <c r="Y45" s="187">
        <v>0.95</v>
      </c>
      <c r="Z45" s="187">
        <v>0.95</v>
      </c>
      <c r="AA45" s="187">
        <v>0.95</v>
      </c>
      <c r="AB45" s="187">
        <v>0.95</v>
      </c>
      <c r="AC45" s="187">
        <v>0.95</v>
      </c>
      <c r="AD45" s="187">
        <v>0.95</v>
      </c>
      <c r="AE45" s="187">
        <v>0.95</v>
      </c>
      <c r="AF45" s="187">
        <v>0.95</v>
      </c>
      <c r="AG45" s="187">
        <v>1</v>
      </c>
      <c r="AH45" s="187">
        <v>1</v>
      </c>
      <c r="AI45" s="187">
        <v>1</v>
      </c>
      <c r="AJ45" s="187">
        <v>1</v>
      </c>
      <c r="AK45" s="187">
        <v>1</v>
      </c>
      <c r="AL45" s="187">
        <v>1</v>
      </c>
      <c r="AM45" s="187">
        <v>1</v>
      </c>
      <c r="AN45" s="187">
        <v>1</v>
      </c>
      <c r="AO45" s="187">
        <v>1</v>
      </c>
      <c r="AP45" s="187">
        <v>1</v>
      </c>
      <c r="AQ45" s="187">
        <v>1</v>
      </c>
      <c r="AR45" s="187">
        <v>1</v>
      </c>
      <c r="AS45" s="188">
        <v>1</v>
      </c>
    </row>
    <row r="46" spans="1:45" s="2" customFormat="1" ht="15" thickBot="1" x14ac:dyDescent="0.25">
      <c r="A46" s="249" t="s">
        <v>110</v>
      </c>
      <c r="B46" s="250"/>
      <c r="C46" s="250"/>
      <c r="D46" s="250"/>
      <c r="E46" s="250"/>
      <c r="F46" s="250"/>
      <c r="G46" s="250"/>
      <c r="H46" s="250"/>
      <c r="I46" s="250"/>
      <c r="J46" s="250"/>
      <c r="K46" s="251"/>
      <c r="M46" s="133" t="s">
        <v>374</v>
      </c>
      <c r="N46" s="134" t="s">
        <v>108</v>
      </c>
      <c r="O46" s="134" t="s">
        <v>140</v>
      </c>
      <c r="P46" s="134" t="s">
        <v>374</v>
      </c>
      <c r="Q46" s="134" t="s">
        <v>108</v>
      </c>
      <c r="R46" s="135" t="s">
        <v>140</v>
      </c>
      <c r="T46" s="30" t="s">
        <v>41</v>
      </c>
      <c r="U46" s="31" t="s">
        <v>43</v>
      </c>
      <c r="V46" s="31" t="s">
        <v>41</v>
      </c>
      <c r="W46" s="31" t="s">
        <v>43</v>
      </c>
      <c r="X46" s="31" t="s">
        <v>42</v>
      </c>
      <c r="Y46" s="31" t="s">
        <v>45</v>
      </c>
      <c r="Z46" s="31" t="s">
        <v>53</v>
      </c>
      <c r="AA46" s="38" t="s">
        <v>142</v>
      </c>
      <c r="AB46" s="38" t="s">
        <v>141</v>
      </c>
      <c r="AC46" s="38" t="s">
        <v>139</v>
      </c>
      <c r="AD46" s="38" t="s">
        <v>44</v>
      </c>
      <c r="AE46" s="31" t="s">
        <v>108</v>
      </c>
      <c r="AF46" s="31" t="s">
        <v>140</v>
      </c>
      <c r="AG46" s="31" t="s">
        <v>41</v>
      </c>
      <c r="AH46" s="31" t="s">
        <v>43</v>
      </c>
      <c r="AI46" s="31" t="s">
        <v>41</v>
      </c>
      <c r="AJ46" s="31" t="s">
        <v>43</v>
      </c>
      <c r="AK46" s="31" t="s">
        <v>42</v>
      </c>
      <c r="AL46" s="31" t="s">
        <v>45</v>
      </c>
      <c r="AM46" s="31" t="s">
        <v>53</v>
      </c>
      <c r="AN46" s="38" t="s">
        <v>142</v>
      </c>
      <c r="AO46" s="38" t="s">
        <v>141</v>
      </c>
      <c r="AP46" s="38" t="s">
        <v>139</v>
      </c>
      <c r="AQ46" s="38" t="s">
        <v>44</v>
      </c>
      <c r="AR46" s="31" t="s">
        <v>108</v>
      </c>
      <c r="AS46" s="32" t="s">
        <v>140</v>
      </c>
    </row>
    <row r="47" spans="1:45" ht="15" thickTop="1" x14ac:dyDescent="0.2">
      <c r="A47" s="273" t="s">
        <v>227</v>
      </c>
      <c r="B47" s="242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 ""," / "&amp;HLOOKUP(SUBSTITUTE(SUBSTITUTE(SUBSTITUTE(SUBSTITUTE(SUBSTITUTE(VCBW,"AMR_",""),"EVS_",""),"SO3_",""),"SO68_",""),"SO73_",""),$P$3:$R$50,ROW(B47)-ROW($P$3)+1,FALSE))</f>
        <v>P.863</v>
      </c>
      <c r="C47" s="29" t="s">
        <v>11</v>
      </c>
      <c r="D47" s="29"/>
      <c r="E47" s="29">
        <f>HLOOKUP(IF(OR("GSM"=Network,"WCDMA"=Network),"UMTS",IF(OR("VoLTE"=Network,"VoNR"=Network,"VoWiFi"=Network),"VoIMS",Network))&amp;" "&amp;VCBW,$T$3:$AF$50,ROW(E47)-ROW($T$3)+1,FALSE)</f>
        <v>3.2</v>
      </c>
      <c r="F47" s="29">
        <f>HLOOKUP(IF(OR("GSM"=Network,"WCDMA"=Network),"UMTS",IF(OR("VoLTE"=Network,"VoNR"=Network,"VoWiFi"=Network),"VoIMS",Network))&amp;" "&amp;VCBW,$AG$3:$AS$50,ROW(E47)-ROW($AG$3)+1,FALSE)</f>
        <v>3.8</v>
      </c>
      <c r="G47" s="21" t="s">
        <v>21</v>
      </c>
      <c r="H47" s="29">
        <v>1</v>
      </c>
      <c r="I47" s="172"/>
      <c r="J47" s="172" t="s">
        <v>164</v>
      </c>
      <c r="K47" s="173" t="s">
        <v>164</v>
      </c>
      <c r="M47" s="143" t="s">
        <v>456</v>
      </c>
      <c r="N47" s="144" t="s">
        <v>456</v>
      </c>
      <c r="O47" s="144" t="s">
        <v>456</v>
      </c>
      <c r="P47" s="144"/>
      <c r="Q47" s="144"/>
      <c r="R47" s="145"/>
      <c r="T47" s="72">
        <v>3.2</v>
      </c>
      <c r="U47" s="82">
        <v>3.2</v>
      </c>
      <c r="V47" s="82">
        <v>3.2</v>
      </c>
      <c r="W47" s="82">
        <v>3.2</v>
      </c>
      <c r="X47" s="82">
        <v>3.2</v>
      </c>
      <c r="Y47" s="82">
        <v>3.2</v>
      </c>
      <c r="Z47" s="82">
        <v>3.2</v>
      </c>
      <c r="AA47" s="82">
        <v>3.2</v>
      </c>
      <c r="AB47" s="82">
        <v>3.2</v>
      </c>
      <c r="AC47" s="82">
        <v>3.2</v>
      </c>
      <c r="AD47" s="82">
        <v>3.2</v>
      </c>
      <c r="AE47" s="82">
        <v>3.2</v>
      </c>
      <c r="AF47" s="82">
        <v>3.2</v>
      </c>
      <c r="AG47" s="82">
        <v>3.8</v>
      </c>
      <c r="AH47" s="82">
        <v>4.5</v>
      </c>
      <c r="AI47" s="82">
        <v>3.8</v>
      </c>
      <c r="AJ47" s="82">
        <v>4.5</v>
      </c>
      <c r="AK47" s="82">
        <v>3.8</v>
      </c>
      <c r="AL47" s="82">
        <v>4.5</v>
      </c>
      <c r="AM47" s="82">
        <v>4.8</v>
      </c>
      <c r="AN47" s="82">
        <v>3.8</v>
      </c>
      <c r="AO47" s="82">
        <v>3.8</v>
      </c>
      <c r="AP47" s="82">
        <v>3.8</v>
      </c>
      <c r="AQ47" s="82">
        <v>4.5</v>
      </c>
      <c r="AR47" s="82">
        <v>4.5</v>
      </c>
      <c r="AS47" s="33">
        <v>4.8</v>
      </c>
    </row>
    <row r="48" spans="1:45" x14ac:dyDescent="0.2">
      <c r="A48" s="274"/>
      <c r="B48" s="243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 ""," / "&amp;HLOOKUP(SUBSTITUTE(SUBSTITUTE(SUBSTITUTE(SUBSTITUTE(SUBSTITUTE(VCBW,"AMR_",""),"EVS_",""),"SO3_",""),"SO68_",""),"SO73_",""),$P$3:$R$50,ROW(B48)-ROW($P$3)+1,FALSE))</f>
        <v>P.863</v>
      </c>
      <c r="C48" s="243" t="s">
        <v>145</v>
      </c>
      <c r="D48" s="25" t="s">
        <v>146</v>
      </c>
      <c r="E48" s="25">
        <f>HLOOKUP(IF(OR("GSM"=Network,"WCDMA"=Network),"UMTS",IF(OR("VoLTE"=Network,"VoNR"=Network,"VoWiFi"=Network),"VoIMS",Network))&amp;" "&amp;VCBW,$T$3:$AF$50,ROW(E48)-ROW($T$3)+1,FALSE)</f>
        <v>3.2</v>
      </c>
      <c r="F48" s="25">
        <f>HLOOKUP(IF(OR("GSM"=Network,"WCDMA"=Network),"UMTS",IF(OR("VoLTE"=Network,"VoNR"=Network,"VoWiFi"=Network),"VoIMS",Network))&amp;" "&amp;VCBW,$AG$3:$AS$50,ROW(E48)-ROW($AG$3)+1,FALSE)</f>
        <v>3.8</v>
      </c>
      <c r="G48" s="15" t="s">
        <v>21</v>
      </c>
      <c r="H48" s="25">
        <v>1</v>
      </c>
      <c r="I48" s="174"/>
      <c r="J48" s="174" t="s">
        <v>164</v>
      </c>
      <c r="K48" s="175" t="s">
        <v>164</v>
      </c>
      <c r="M48" s="143" t="s">
        <v>456</v>
      </c>
      <c r="N48" s="144" t="s">
        <v>456</v>
      </c>
      <c r="O48" s="144" t="s">
        <v>456</v>
      </c>
      <c r="P48" s="144"/>
      <c r="Q48" s="144"/>
      <c r="R48" s="145"/>
      <c r="T48" s="72">
        <v>3.2</v>
      </c>
      <c r="U48" s="82">
        <v>3.2</v>
      </c>
      <c r="V48" s="82">
        <v>3.2</v>
      </c>
      <c r="W48" s="82">
        <v>3.2</v>
      </c>
      <c r="X48" s="82">
        <v>3.2</v>
      </c>
      <c r="Y48" s="82">
        <v>3.2</v>
      </c>
      <c r="Z48" s="82">
        <v>3.2</v>
      </c>
      <c r="AA48" s="82">
        <v>3.2</v>
      </c>
      <c r="AB48" s="82">
        <v>3.2</v>
      </c>
      <c r="AC48" s="82">
        <v>3.2</v>
      </c>
      <c r="AD48" s="82">
        <v>3.2</v>
      </c>
      <c r="AE48" s="82">
        <v>3.2</v>
      </c>
      <c r="AF48" s="82">
        <v>3.2</v>
      </c>
      <c r="AG48" s="82">
        <v>3.8</v>
      </c>
      <c r="AH48" s="82">
        <v>4.5</v>
      </c>
      <c r="AI48" s="82">
        <v>3.8</v>
      </c>
      <c r="AJ48" s="82">
        <v>4.5</v>
      </c>
      <c r="AK48" s="82">
        <v>3.8</v>
      </c>
      <c r="AL48" s="82">
        <v>4.5</v>
      </c>
      <c r="AM48" s="82">
        <v>4.8</v>
      </c>
      <c r="AN48" s="82">
        <v>3.8</v>
      </c>
      <c r="AO48" s="82">
        <v>3.8</v>
      </c>
      <c r="AP48" s="82">
        <v>3.8</v>
      </c>
      <c r="AQ48" s="82">
        <v>4.5</v>
      </c>
      <c r="AR48" s="82">
        <v>4.5</v>
      </c>
      <c r="AS48" s="33">
        <v>4.8</v>
      </c>
    </row>
    <row r="49" spans="1:45" x14ac:dyDescent="0.2">
      <c r="A49" s="274"/>
      <c r="B49" s="243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 ""," / "&amp;HLOOKUP(SUBSTITUTE(SUBSTITUTE(SUBSTITUTE(SUBSTITUTE(SUBSTITUTE(VCBW,"AMR_",""),"EVS_",""),"SO3_",""),"SO68_",""),"SO73_",""),$P$3:$R$50,ROW(B49)-ROW($P$3)+1,FALSE))</f>
        <v>P.863</v>
      </c>
      <c r="C49" s="243"/>
      <c r="D49" s="25" t="s">
        <v>147</v>
      </c>
      <c r="E49" s="25">
        <f>HLOOKUP(IF(OR("GSM"=Network,"WCDMA"=Network),"UMTS",IF(OR("VoLTE"=Network,"VoNR"=Network,"VoWiFi"=Network),"VoIMS",Network))&amp;" "&amp;VCBW,$T$3:$AF$50,ROW(E49)-ROW($T$3)+1,FALSE)</f>
        <v>3.2</v>
      </c>
      <c r="F49" s="25">
        <f>HLOOKUP(IF(OR("GSM"=Network,"WCDMA"=Network),"UMTS",IF(OR("VoLTE"=Network,"VoNR"=Network,"VoWiFi"=Network),"VoIMS",Network))&amp;" "&amp;VCBW,$AG$3:$AS$50,ROW(E49)-ROW($AG$3)+1,FALSE)</f>
        <v>3.8</v>
      </c>
      <c r="G49" s="15" t="s">
        <v>21</v>
      </c>
      <c r="H49" s="25">
        <v>1</v>
      </c>
      <c r="I49" s="174"/>
      <c r="J49" s="174" t="s">
        <v>164</v>
      </c>
      <c r="K49" s="175" t="s">
        <v>164</v>
      </c>
      <c r="M49" s="143" t="s">
        <v>456</v>
      </c>
      <c r="N49" s="144" t="s">
        <v>456</v>
      </c>
      <c r="O49" s="144" t="s">
        <v>456</v>
      </c>
      <c r="P49" s="144"/>
      <c r="Q49" s="144"/>
      <c r="R49" s="145"/>
      <c r="T49" s="72">
        <v>3.2</v>
      </c>
      <c r="U49" s="82">
        <v>3.2</v>
      </c>
      <c r="V49" s="82">
        <v>3.2</v>
      </c>
      <c r="W49" s="82">
        <v>3.2</v>
      </c>
      <c r="X49" s="82">
        <v>3.2</v>
      </c>
      <c r="Y49" s="82">
        <v>3.2</v>
      </c>
      <c r="Z49" s="82">
        <v>3.2</v>
      </c>
      <c r="AA49" s="82">
        <v>3.2</v>
      </c>
      <c r="AB49" s="82">
        <v>3.2</v>
      </c>
      <c r="AC49" s="82">
        <v>3.2</v>
      </c>
      <c r="AD49" s="82">
        <v>3.2</v>
      </c>
      <c r="AE49" s="82">
        <v>3.2</v>
      </c>
      <c r="AF49" s="82">
        <v>3.2</v>
      </c>
      <c r="AG49" s="82">
        <v>3.8</v>
      </c>
      <c r="AH49" s="82">
        <v>4.5</v>
      </c>
      <c r="AI49" s="82">
        <v>3.8</v>
      </c>
      <c r="AJ49" s="82">
        <v>4.5</v>
      </c>
      <c r="AK49" s="82">
        <v>3.8</v>
      </c>
      <c r="AL49" s="82">
        <v>4.5</v>
      </c>
      <c r="AM49" s="82">
        <v>4.8</v>
      </c>
      <c r="AN49" s="82">
        <v>3.8</v>
      </c>
      <c r="AO49" s="82">
        <v>3.8</v>
      </c>
      <c r="AP49" s="82">
        <v>3.8</v>
      </c>
      <c r="AQ49" s="82">
        <v>4.5</v>
      </c>
      <c r="AR49" s="82">
        <v>4.5</v>
      </c>
      <c r="AS49" s="33">
        <v>4.8</v>
      </c>
    </row>
    <row r="50" spans="1:45" ht="15" thickBot="1" x14ac:dyDescent="0.25">
      <c r="A50" s="275"/>
      <c r="B50" s="244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 ""," / "&amp;HLOOKUP(SUBSTITUTE(SUBSTITUTE(SUBSTITUTE(SUBSTITUTE(SUBSTITUTE(VCBW,"AMR_",""),"EVS_",""),"SO3_",""),"SO68_",""),"SO73_",""),$P$3:$R$50,ROW(B50)-ROW($P$3)+1,FALSE))</f>
        <v>P.863</v>
      </c>
      <c r="C50" s="244"/>
      <c r="D50" s="26" t="s">
        <v>148</v>
      </c>
      <c r="E50" s="26">
        <f>HLOOKUP(IF(OR("GSM"=Network,"WCDMA"=Network),"UMTS",IF(OR("VoLTE"=Network,"VoNR"=Network,"VoWiFi"=Network),"VoIMS",Network))&amp;" "&amp;VCBW,$T$3:$AF$50,ROW(E50)-ROW($T$3)+1,FALSE)</f>
        <v>3.2</v>
      </c>
      <c r="F50" s="26">
        <f>HLOOKUP(IF(OR("GSM"=Network,"WCDMA"=Network),"UMTS",IF(OR("VoLTE"=Network,"VoNR"=Network,"VoWiFi"=Network),"VoIMS",Network))&amp;" "&amp;VCBW,$AG$3:$AS$50,ROW(E50)-ROW($AG$3)+1,FALSE)</f>
        <v>3.8</v>
      </c>
      <c r="G50" s="22" t="s">
        <v>21</v>
      </c>
      <c r="H50" s="26">
        <v>1</v>
      </c>
      <c r="I50" s="176"/>
      <c r="J50" s="176" t="s">
        <v>164</v>
      </c>
      <c r="K50" s="177" t="s">
        <v>164</v>
      </c>
      <c r="M50" s="146" t="s">
        <v>456</v>
      </c>
      <c r="N50" s="147" t="s">
        <v>456</v>
      </c>
      <c r="O50" s="147" t="s">
        <v>456</v>
      </c>
      <c r="P50" s="147"/>
      <c r="Q50" s="147"/>
      <c r="R50" s="148"/>
      <c r="T50" s="66">
        <v>3.2</v>
      </c>
      <c r="U50" s="83">
        <v>3.2</v>
      </c>
      <c r="V50" s="83">
        <v>3.2</v>
      </c>
      <c r="W50" s="83">
        <v>3.2</v>
      </c>
      <c r="X50" s="83">
        <v>3.2</v>
      </c>
      <c r="Y50" s="83">
        <v>3.2</v>
      </c>
      <c r="Z50" s="83">
        <v>3.2</v>
      </c>
      <c r="AA50" s="83">
        <v>3.2</v>
      </c>
      <c r="AB50" s="83">
        <v>3.2</v>
      </c>
      <c r="AC50" s="83">
        <v>3.2</v>
      </c>
      <c r="AD50" s="83">
        <v>3.2</v>
      </c>
      <c r="AE50" s="83">
        <v>3.2</v>
      </c>
      <c r="AF50" s="83">
        <v>3.2</v>
      </c>
      <c r="AG50" s="83">
        <v>3.8</v>
      </c>
      <c r="AH50" s="83">
        <v>4.5</v>
      </c>
      <c r="AI50" s="83">
        <v>3.8</v>
      </c>
      <c r="AJ50" s="83">
        <v>4.5</v>
      </c>
      <c r="AK50" s="83">
        <v>3.8</v>
      </c>
      <c r="AL50" s="83">
        <v>4.5</v>
      </c>
      <c r="AM50" s="83">
        <v>4.8</v>
      </c>
      <c r="AN50" s="83">
        <v>3.8</v>
      </c>
      <c r="AO50" s="83">
        <v>3.8</v>
      </c>
      <c r="AP50" s="83">
        <v>3.8</v>
      </c>
      <c r="AQ50" s="83">
        <v>4.5</v>
      </c>
      <c r="AR50" s="83">
        <v>4.5</v>
      </c>
      <c r="AS50" s="34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dataConsolidate/>
  <mergeCells count="66">
    <mergeCell ref="A1:H1"/>
    <mergeCell ref="A40:A45"/>
    <mergeCell ref="B40:B45"/>
    <mergeCell ref="B7:B14"/>
    <mergeCell ref="B18:B20"/>
    <mergeCell ref="B22:B24"/>
    <mergeCell ref="B25:B27"/>
    <mergeCell ref="B30:B32"/>
    <mergeCell ref="B33:B34"/>
    <mergeCell ref="B35:B38"/>
    <mergeCell ref="A33:A38"/>
    <mergeCell ref="C35:C36"/>
    <mergeCell ref="A25:A28"/>
    <mergeCell ref="C25:C27"/>
    <mergeCell ref="C7:C14"/>
    <mergeCell ref="C40:C41"/>
    <mergeCell ref="A47:A50"/>
    <mergeCell ref="B47:B50"/>
    <mergeCell ref="C48:C50"/>
    <mergeCell ref="E3:H3"/>
    <mergeCell ref="A5:K5"/>
    <mergeCell ref="A3:D3"/>
    <mergeCell ref="A30:A32"/>
    <mergeCell ref="C30:C32"/>
    <mergeCell ref="A16:A20"/>
    <mergeCell ref="C18:C20"/>
    <mergeCell ref="A21:A24"/>
    <mergeCell ref="C22:C24"/>
    <mergeCell ref="B16:B17"/>
    <mergeCell ref="C16:C17"/>
    <mergeCell ref="A46:K46"/>
    <mergeCell ref="C37:C38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S3:AS4"/>
    <mergeCell ref="AN3:AN4"/>
    <mergeCell ref="AO3:AO4"/>
    <mergeCell ref="AP3:AP4"/>
    <mergeCell ref="AQ3:AQ4"/>
    <mergeCell ref="AR3:AR4"/>
    <mergeCell ref="C43:C44"/>
    <mergeCell ref="R3:R4"/>
    <mergeCell ref="A6:A15"/>
    <mergeCell ref="M3:M4"/>
    <mergeCell ref="N3:N4"/>
    <mergeCell ref="O3:O4"/>
    <mergeCell ref="P3:P4"/>
    <mergeCell ref="Q3:Q4"/>
  </mergeCells>
  <phoneticPr fontId="1" type="noConversion"/>
  <conditionalFormatting sqref="I47:K50 I6:K45">
    <cfRule type="cellIs" dxfId="24" priority="1" stopIfTrue="1" operator="equal">
      <formula>"×"</formula>
    </cfRule>
    <cfRule type="containsBlanks" priority="10" stopIfTrue="1">
      <formula>LEN(TRIM(I6))=0</formula>
    </cfRule>
    <cfRule type="expression" dxfId="23" priority="11" stopIfTrue="1">
      <formula>OR(AND(1=$H6,OR(AND(ISNUMBER($E6),I6&lt;$E6),AND(ISNUMBER($F6),I6&gt;$F6),"Fail"=I6)),AND(2=$H6,ISNUMBER($F6),I6&gt;$F6),AND(3=$H6,ISNUMBER($E6),I6&lt;$E6))</formula>
    </cfRule>
    <cfRule type="expression" dxfId="22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21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47:K50 I6:K32 I39:K45" xr:uid="{5DF8839B-CEE8-4584-B67F-27F6E13560E9}">
      <formula1>OR(ISNUMBER(I6),"×"=I6)</formula1>
    </dataValidation>
    <dataValidation type="list" allowBlank="1" showInputMessage="1" showErrorMessage="1" sqref="I33:K38" xr:uid="{1F1BCBC5-ECD0-46B6-9119-A6858D645DBC}">
      <formula1>"Pass,Fail,×"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E26-C40B-4F96-BC21-46DD0460169B}">
  <sheetPr>
    <tabColor theme="8" tint="0.79998168889431442"/>
  </sheetPr>
  <dimension ref="A1:AS59"/>
  <sheetViews>
    <sheetView topLeftCell="M1"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664</v>
      </c>
      <c r="B1" s="253"/>
      <c r="C1" s="253"/>
      <c r="D1" s="253"/>
      <c r="E1" s="253"/>
      <c r="F1" s="253"/>
      <c r="G1" s="253"/>
      <c r="H1" s="253"/>
      <c r="I1" s="67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81" t="str">
        <f>Report!B15</f>
        <v>VoLTE</v>
      </c>
      <c r="J3" s="81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38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6"/>
    </row>
    <row r="5" spans="1:45" s="2" customFormat="1" ht="15" thickBot="1" x14ac:dyDescent="0.25">
      <c r="A5" s="249" t="s">
        <v>410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133" t="s">
        <v>41</v>
      </c>
      <c r="U5" s="134" t="s">
        <v>43</v>
      </c>
      <c r="V5" s="134" t="s">
        <v>41</v>
      </c>
      <c r="W5" s="134" t="s">
        <v>43</v>
      </c>
      <c r="X5" s="134" t="s">
        <v>42</v>
      </c>
      <c r="Y5" s="134" t="s">
        <v>45</v>
      </c>
      <c r="Z5" s="134" t="s">
        <v>53</v>
      </c>
      <c r="AA5" s="127" t="s">
        <v>142</v>
      </c>
      <c r="AB5" s="127" t="s">
        <v>141</v>
      </c>
      <c r="AC5" s="127" t="s">
        <v>139</v>
      </c>
      <c r="AD5" s="127" t="s">
        <v>44</v>
      </c>
      <c r="AE5" s="134" t="s">
        <v>108</v>
      </c>
      <c r="AF5" s="134" t="s">
        <v>140</v>
      </c>
      <c r="AG5" s="134" t="s">
        <v>41</v>
      </c>
      <c r="AH5" s="134" t="s">
        <v>43</v>
      </c>
      <c r="AI5" s="134" t="s">
        <v>41</v>
      </c>
      <c r="AJ5" s="134" t="s">
        <v>43</v>
      </c>
      <c r="AK5" s="134" t="s">
        <v>42</v>
      </c>
      <c r="AL5" s="134" t="s">
        <v>45</v>
      </c>
      <c r="AM5" s="134" t="s">
        <v>53</v>
      </c>
      <c r="AN5" s="127" t="s">
        <v>142</v>
      </c>
      <c r="AO5" s="127" t="s">
        <v>141</v>
      </c>
      <c r="AP5" s="127" t="s">
        <v>139</v>
      </c>
      <c r="AQ5" s="127" t="s">
        <v>44</v>
      </c>
      <c r="AR5" s="134" t="s">
        <v>108</v>
      </c>
      <c r="AS5" s="135" t="s">
        <v>140</v>
      </c>
    </row>
    <row r="6" spans="1:45" ht="15" thickTop="1" x14ac:dyDescent="0.2">
      <c r="A6" s="269" t="s">
        <v>121</v>
      </c>
      <c r="B6" s="121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 ""," / "&amp;HLOOKUP(SUBSTITUTE(SUBSTITUTE(SUBSTITUTE(SUBSTITUTE(SUBSTITUTE(VCBW,"AMR_",""),"EVS_",""),"SO3_",""),"SO68_",""),"SO73_",""),$P$3:$R$59,ROW(B6)-ROW($P$3)+1,FALSE))</f>
        <v>5.2.6.1 / 7.2.6.1</v>
      </c>
      <c r="C6" s="121" t="s">
        <v>304</v>
      </c>
      <c r="D6" s="121"/>
      <c r="E6" s="121">
        <f t="shared" ref="E6:E37" si="1">HLOOKUP(IF(OR("GSM"=Network,"WCDMA"=Network),"UMTS",IF(OR("VoLTE"=Network,"VoNR"=Network,"VoWiFi"=Network),"VoIMS",Network))&amp;" "&amp;VCBW,$T$3:$AF$59,ROW(E6)-ROW($T$3)+1,FALSE)</f>
        <v>-3</v>
      </c>
      <c r="F6" s="121">
        <f t="shared" ref="F6:F37" si="2">HLOOKUP(IF(OR("GSM"=Network,"WCDMA"=Network),"UMTS",IF(OR("VoLTE"=Network,"VoNR"=Network,"VoWiFi"=Network),"VoIMS",Network))&amp;" "&amp;VCBW,$AG$3:$AS$59,ROW(E6)-ROW($AG$3)+1,FALSE)</f>
        <v>3</v>
      </c>
      <c r="G6" s="121" t="s">
        <v>49</v>
      </c>
      <c r="H6" s="121">
        <v>1</v>
      </c>
      <c r="I6" s="166"/>
      <c r="J6" s="172" t="s">
        <v>164</v>
      </c>
      <c r="K6" s="173" t="s">
        <v>164</v>
      </c>
      <c r="M6" s="143" t="s">
        <v>329</v>
      </c>
      <c r="N6" s="144" t="s">
        <v>377</v>
      </c>
      <c r="O6" s="144" t="s">
        <v>307</v>
      </c>
      <c r="P6" s="144" t="s">
        <v>307</v>
      </c>
      <c r="Q6" s="144" t="s">
        <v>351</v>
      </c>
      <c r="R6" s="145" t="s">
        <v>363</v>
      </c>
      <c r="T6" s="72">
        <v>-3</v>
      </c>
      <c r="U6" s="129">
        <v>-3</v>
      </c>
      <c r="V6" s="129">
        <v>-3</v>
      </c>
      <c r="W6" s="129">
        <v>-3</v>
      </c>
      <c r="X6" s="129">
        <v>-3</v>
      </c>
      <c r="Y6" s="129">
        <v>-3</v>
      </c>
      <c r="Z6" s="129">
        <v>-3</v>
      </c>
      <c r="AA6" s="129">
        <v>-3</v>
      </c>
      <c r="AB6" s="129">
        <v>-3</v>
      </c>
      <c r="AC6" s="129">
        <v>-3</v>
      </c>
      <c r="AD6" s="129">
        <v>-3</v>
      </c>
      <c r="AE6" s="129">
        <v>-3</v>
      </c>
      <c r="AF6" s="129">
        <v>-3</v>
      </c>
      <c r="AG6" s="129">
        <v>3</v>
      </c>
      <c r="AH6" s="129">
        <v>3</v>
      </c>
      <c r="AI6" s="129">
        <v>3</v>
      </c>
      <c r="AJ6" s="129">
        <v>3</v>
      </c>
      <c r="AK6" s="129">
        <v>3</v>
      </c>
      <c r="AL6" s="129">
        <v>3</v>
      </c>
      <c r="AM6" s="129">
        <v>3</v>
      </c>
      <c r="AN6" s="129">
        <v>3</v>
      </c>
      <c r="AO6" s="129">
        <v>3</v>
      </c>
      <c r="AP6" s="129">
        <v>3</v>
      </c>
      <c r="AQ6" s="129">
        <v>3</v>
      </c>
      <c r="AR6" s="129">
        <v>3</v>
      </c>
      <c r="AS6" s="33">
        <v>3</v>
      </c>
    </row>
    <row r="7" spans="1:45" x14ac:dyDescent="0.2">
      <c r="A7" s="276"/>
      <c r="B7" s="231" t="str">
        <f t="shared" si="0"/>
        <v>5.2.6.1 / 7.2.6.2</v>
      </c>
      <c r="C7" s="231" t="s">
        <v>305</v>
      </c>
      <c r="D7" s="122" t="s">
        <v>310</v>
      </c>
      <c r="E7" s="122">
        <f t="shared" si="1"/>
        <v>-15</v>
      </c>
      <c r="F7" s="122">
        <f t="shared" si="2"/>
        <v>-9</v>
      </c>
      <c r="G7" s="122" t="s">
        <v>153</v>
      </c>
      <c r="H7" s="122">
        <v>1</v>
      </c>
      <c r="I7" s="168"/>
      <c r="J7" s="174" t="s">
        <v>164</v>
      </c>
      <c r="K7" s="175" t="s">
        <v>164</v>
      </c>
      <c r="M7" s="143" t="s">
        <v>329</v>
      </c>
      <c r="N7" s="144" t="s">
        <v>376</v>
      </c>
      <c r="O7" s="144" t="s">
        <v>306</v>
      </c>
      <c r="P7" s="144" t="s">
        <v>309</v>
      </c>
      <c r="Q7" s="144" t="s">
        <v>352</v>
      </c>
      <c r="R7" s="145" t="s">
        <v>364</v>
      </c>
      <c r="T7" s="72">
        <v>-15</v>
      </c>
      <c r="U7" s="129">
        <v>-15</v>
      </c>
      <c r="V7" s="129">
        <v>-15</v>
      </c>
      <c r="W7" s="129">
        <v>-15</v>
      </c>
      <c r="X7" s="129">
        <v>-15</v>
      </c>
      <c r="Y7" s="129">
        <v>-15</v>
      </c>
      <c r="Z7" s="129">
        <v>-15</v>
      </c>
      <c r="AA7" s="129">
        <v>-15</v>
      </c>
      <c r="AB7" s="129">
        <v>-15</v>
      </c>
      <c r="AC7" s="129">
        <v>-15</v>
      </c>
      <c r="AD7" s="129">
        <v>-15</v>
      </c>
      <c r="AE7" s="129">
        <v>-15</v>
      </c>
      <c r="AF7" s="129">
        <v>-15</v>
      </c>
      <c r="AG7" s="129">
        <v>-9</v>
      </c>
      <c r="AH7" s="129">
        <v>-9</v>
      </c>
      <c r="AI7" s="129">
        <v>-9</v>
      </c>
      <c r="AJ7" s="129">
        <v>-9</v>
      </c>
      <c r="AK7" s="129">
        <v>-9</v>
      </c>
      <c r="AL7" s="129">
        <v>-9</v>
      </c>
      <c r="AM7" s="129">
        <v>-9</v>
      </c>
      <c r="AN7" s="129">
        <v>-9</v>
      </c>
      <c r="AO7" s="129">
        <v>-9</v>
      </c>
      <c r="AP7" s="129">
        <v>-9</v>
      </c>
      <c r="AQ7" s="129">
        <v>-9</v>
      </c>
      <c r="AR7" s="129">
        <v>-9</v>
      </c>
      <c r="AS7" s="33">
        <v>-9</v>
      </c>
    </row>
    <row r="8" spans="1:45" x14ac:dyDescent="0.2">
      <c r="A8" s="276"/>
      <c r="B8" s="231" t="str">
        <f t="shared" si="0"/>
        <v>5.2.6.1 / 7.2.6.2</v>
      </c>
      <c r="C8" s="231"/>
      <c r="D8" s="122" t="s">
        <v>88</v>
      </c>
      <c r="E8" s="122" t="str">
        <f t="shared" si="1"/>
        <v>N/A</v>
      </c>
      <c r="F8" s="122" t="str">
        <f t="shared" si="2"/>
        <v>N/A</v>
      </c>
      <c r="G8" s="122" t="s">
        <v>153</v>
      </c>
      <c r="H8" s="122">
        <v>1</v>
      </c>
      <c r="I8" s="168"/>
      <c r="J8" s="174" t="s">
        <v>164</v>
      </c>
      <c r="K8" s="175" t="s">
        <v>164</v>
      </c>
      <c r="M8" s="143" t="s">
        <v>329</v>
      </c>
      <c r="N8" s="144" t="s">
        <v>376</v>
      </c>
      <c r="O8" s="144" t="s">
        <v>306</v>
      </c>
      <c r="P8" s="144" t="s">
        <v>308</v>
      </c>
      <c r="Q8" s="144" t="s">
        <v>352</v>
      </c>
      <c r="R8" s="145" t="s">
        <v>364</v>
      </c>
      <c r="T8" s="72" t="s">
        <v>143</v>
      </c>
      <c r="U8" s="129" t="s">
        <v>143</v>
      </c>
      <c r="V8" s="129" t="s">
        <v>143</v>
      </c>
      <c r="W8" s="129" t="s">
        <v>143</v>
      </c>
      <c r="X8" s="129" t="s">
        <v>143</v>
      </c>
      <c r="Y8" s="129" t="s">
        <v>143</v>
      </c>
      <c r="Z8" s="129" t="s">
        <v>143</v>
      </c>
      <c r="AA8" s="129" t="s">
        <v>143</v>
      </c>
      <c r="AB8" s="129" t="s">
        <v>143</v>
      </c>
      <c r="AC8" s="129" t="s">
        <v>143</v>
      </c>
      <c r="AD8" s="129" t="s">
        <v>143</v>
      </c>
      <c r="AE8" s="129" t="s">
        <v>143</v>
      </c>
      <c r="AF8" s="129" t="s">
        <v>143</v>
      </c>
      <c r="AG8" s="129" t="s">
        <v>143</v>
      </c>
      <c r="AH8" s="129" t="s">
        <v>143</v>
      </c>
      <c r="AI8" s="129" t="s">
        <v>143</v>
      </c>
      <c r="AJ8" s="129" t="s">
        <v>143</v>
      </c>
      <c r="AK8" s="129" t="s">
        <v>143</v>
      </c>
      <c r="AL8" s="129" t="s">
        <v>143</v>
      </c>
      <c r="AM8" s="129" t="s">
        <v>143</v>
      </c>
      <c r="AN8" s="129" t="s">
        <v>143</v>
      </c>
      <c r="AO8" s="129" t="s">
        <v>143</v>
      </c>
      <c r="AP8" s="129" t="s">
        <v>143</v>
      </c>
      <c r="AQ8" s="129" t="s">
        <v>143</v>
      </c>
      <c r="AR8" s="129" t="s">
        <v>143</v>
      </c>
      <c r="AS8" s="33" t="s">
        <v>143</v>
      </c>
    </row>
    <row r="9" spans="1:45" x14ac:dyDescent="0.2">
      <c r="A9" s="276"/>
      <c r="B9" s="231" t="str">
        <f t="shared" si="0"/>
        <v>5.2.6.1 / 7.2.6.2</v>
      </c>
      <c r="C9" s="231"/>
      <c r="D9" s="122" t="s">
        <v>75</v>
      </c>
      <c r="E9" s="122" t="str">
        <f t="shared" si="1"/>
        <v>N/A</v>
      </c>
      <c r="F9" s="122" t="str">
        <f t="shared" si="2"/>
        <v>N/A</v>
      </c>
      <c r="G9" s="122" t="s">
        <v>153</v>
      </c>
      <c r="H9" s="122">
        <v>1</v>
      </c>
      <c r="I9" s="168"/>
      <c r="J9" s="174" t="s">
        <v>164</v>
      </c>
      <c r="K9" s="175" t="s">
        <v>164</v>
      </c>
      <c r="M9" s="143" t="s">
        <v>329</v>
      </c>
      <c r="N9" s="144" t="s">
        <v>376</v>
      </c>
      <c r="O9" s="144" t="s">
        <v>306</v>
      </c>
      <c r="P9" s="144" t="s">
        <v>308</v>
      </c>
      <c r="Q9" s="144" t="s">
        <v>352</v>
      </c>
      <c r="R9" s="145" t="s">
        <v>364</v>
      </c>
      <c r="T9" s="72" t="s">
        <v>143</v>
      </c>
      <c r="U9" s="129" t="s">
        <v>143</v>
      </c>
      <c r="V9" s="129" t="s">
        <v>143</v>
      </c>
      <c r="W9" s="129" t="s">
        <v>143</v>
      </c>
      <c r="X9" s="129" t="s">
        <v>143</v>
      </c>
      <c r="Y9" s="129" t="s">
        <v>143</v>
      </c>
      <c r="Z9" s="129" t="s">
        <v>143</v>
      </c>
      <c r="AA9" s="129" t="s">
        <v>143</v>
      </c>
      <c r="AB9" s="129" t="s">
        <v>143</v>
      </c>
      <c r="AC9" s="129" t="s">
        <v>143</v>
      </c>
      <c r="AD9" s="129" t="s">
        <v>143</v>
      </c>
      <c r="AE9" s="129" t="s">
        <v>143</v>
      </c>
      <c r="AF9" s="129" t="s">
        <v>143</v>
      </c>
      <c r="AG9" s="129" t="s">
        <v>143</v>
      </c>
      <c r="AH9" s="129" t="s">
        <v>143</v>
      </c>
      <c r="AI9" s="129" t="s">
        <v>143</v>
      </c>
      <c r="AJ9" s="129" t="s">
        <v>143</v>
      </c>
      <c r="AK9" s="129" t="s">
        <v>143</v>
      </c>
      <c r="AL9" s="129" t="s">
        <v>143</v>
      </c>
      <c r="AM9" s="129" t="s">
        <v>143</v>
      </c>
      <c r="AN9" s="129" t="s">
        <v>143</v>
      </c>
      <c r="AO9" s="129" t="s">
        <v>143</v>
      </c>
      <c r="AP9" s="129" t="s">
        <v>143</v>
      </c>
      <c r="AQ9" s="129" t="s">
        <v>143</v>
      </c>
      <c r="AR9" s="129" t="s">
        <v>143</v>
      </c>
      <c r="AS9" s="33" t="s">
        <v>143</v>
      </c>
    </row>
    <row r="10" spans="1:45" x14ac:dyDescent="0.2">
      <c r="A10" s="276"/>
      <c r="B10" s="231" t="str">
        <f t="shared" si="0"/>
        <v>5.2.6.1 / 7.2.6.2</v>
      </c>
      <c r="C10" s="231"/>
      <c r="D10" s="122" t="s">
        <v>89</v>
      </c>
      <c r="E10" s="122" t="str">
        <f t="shared" si="1"/>
        <v>N/A</v>
      </c>
      <c r="F10" s="122" t="str">
        <f t="shared" si="2"/>
        <v>N/A</v>
      </c>
      <c r="G10" s="122" t="s">
        <v>153</v>
      </c>
      <c r="H10" s="122">
        <v>1</v>
      </c>
      <c r="I10" s="168"/>
      <c r="J10" s="174" t="s">
        <v>164</v>
      </c>
      <c r="K10" s="175" t="s">
        <v>164</v>
      </c>
      <c r="M10" s="143" t="s">
        <v>329</v>
      </c>
      <c r="N10" s="144" t="s">
        <v>376</v>
      </c>
      <c r="O10" s="144" t="s">
        <v>306</v>
      </c>
      <c r="P10" s="144" t="s">
        <v>308</v>
      </c>
      <c r="Q10" s="144" t="s">
        <v>352</v>
      </c>
      <c r="R10" s="145" t="s">
        <v>364</v>
      </c>
      <c r="T10" s="72" t="s">
        <v>143</v>
      </c>
      <c r="U10" s="129" t="s">
        <v>143</v>
      </c>
      <c r="V10" s="129" t="s">
        <v>143</v>
      </c>
      <c r="W10" s="129" t="s">
        <v>143</v>
      </c>
      <c r="X10" s="129" t="s">
        <v>143</v>
      </c>
      <c r="Y10" s="129" t="s">
        <v>143</v>
      </c>
      <c r="Z10" s="129" t="s">
        <v>143</v>
      </c>
      <c r="AA10" s="129" t="s">
        <v>143</v>
      </c>
      <c r="AB10" s="129" t="s">
        <v>143</v>
      </c>
      <c r="AC10" s="129" t="s">
        <v>143</v>
      </c>
      <c r="AD10" s="129" t="s">
        <v>143</v>
      </c>
      <c r="AE10" s="129" t="s">
        <v>143</v>
      </c>
      <c r="AF10" s="129" t="s">
        <v>143</v>
      </c>
      <c r="AG10" s="129" t="s">
        <v>143</v>
      </c>
      <c r="AH10" s="129" t="s">
        <v>143</v>
      </c>
      <c r="AI10" s="129" t="s">
        <v>143</v>
      </c>
      <c r="AJ10" s="129" t="s">
        <v>143</v>
      </c>
      <c r="AK10" s="129" t="s">
        <v>143</v>
      </c>
      <c r="AL10" s="129" t="s">
        <v>143</v>
      </c>
      <c r="AM10" s="129" t="s">
        <v>143</v>
      </c>
      <c r="AN10" s="129" t="s">
        <v>143</v>
      </c>
      <c r="AO10" s="129" t="s">
        <v>143</v>
      </c>
      <c r="AP10" s="129" t="s">
        <v>143</v>
      </c>
      <c r="AQ10" s="129" t="s">
        <v>143</v>
      </c>
      <c r="AR10" s="129" t="s">
        <v>143</v>
      </c>
      <c r="AS10" s="33" t="s">
        <v>143</v>
      </c>
    </row>
    <row r="11" spans="1:45" x14ac:dyDescent="0.2">
      <c r="A11" s="276"/>
      <c r="B11" s="231" t="str">
        <f t="shared" si="0"/>
        <v>5.2.6.1 / 7.2.6.2</v>
      </c>
      <c r="C11" s="231"/>
      <c r="D11" s="122" t="s">
        <v>90</v>
      </c>
      <c r="E11" s="122">
        <f t="shared" si="1"/>
        <v>-3</v>
      </c>
      <c r="F11" s="122">
        <f t="shared" si="2"/>
        <v>3</v>
      </c>
      <c r="G11" s="122" t="s">
        <v>153</v>
      </c>
      <c r="H11" s="122">
        <v>1</v>
      </c>
      <c r="I11" s="168"/>
      <c r="J11" s="174" t="s">
        <v>164</v>
      </c>
      <c r="K11" s="175" t="s">
        <v>164</v>
      </c>
      <c r="M11" s="143" t="s">
        <v>329</v>
      </c>
      <c r="N11" s="144" t="s">
        <v>376</v>
      </c>
      <c r="O11" s="144" t="s">
        <v>306</v>
      </c>
      <c r="P11" s="144" t="s">
        <v>308</v>
      </c>
      <c r="Q11" s="144" t="s">
        <v>352</v>
      </c>
      <c r="R11" s="145" t="s">
        <v>364</v>
      </c>
      <c r="T11" s="72">
        <v>-3</v>
      </c>
      <c r="U11" s="129">
        <v>-3</v>
      </c>
      <c r="V11" s="129">
        <v>-3</v>
      </c>
      <c r="W11" s="129">
        <v>-3</v>
      </c>
      <c r="X11" s="129">
        <v>-3</v>
      </c>
      <c r="Y11" s="129">
        <v>-3</v>
      </c>
      <c r="Z11" s="129">
        <v>-3</v>
      </c>
      <c r="AA11" s="129">
        <v>-3</v>
      </c>
      <c r="AB11" s="129">
        <v>-3</v>
      </c>
      <c r="AC11" s="129">
        <v>-3</v>
      </c>
      <c r="AD11" s="129">
        <v>-3</v>
      </c>
      <c r="AE11" s="129">
        <v>-3</v>
      </c>
      <c r="AF11" s="129">
        <v>-3</v>
      </c>
      <c r="AG11" s="129">
        <v>3</v>
      </c>
      <c r="AH11" s="129">
        <v>3</v>
      </c>
      <c r="AI11" s="129">
        <v>3</v>
      </c>
      <c r="AJ11" s="129">
        <v>3</v>
      </c>
      <c r="AK11" s="129">
        <v>3</v>
      </c>
      <c r="AL11" s="129">
        <v>3</v>
      </c>
      <c r="AM11" s="129">
        <v>3</v>
      </c>
      <c r="AN11" s="129">
        <v>3</v>
      </c>
      <c r="AO11" s="129">
        <v>3</v>
      </c>
      <c r="AP11" s="129">
        <v>3</v>
      </c>
      <c r="AQ11" s="129">
        <v>3</v>
      </c>
      <c r="AR11" s="129">
        <v>3</v>
      </c>
      <c r="AS11" s="33">
        <v>3</v>
      </c>
    </row>
    <row r="12" spans="1:45" x14ac:dyDescent="0.2">
      <c r="A12" s="276"/>
      <c r="B12" s="231" t="str">
        <f t="shared" si="0"/>
        <v>5.2.6.1 / 7.2.6.2</v>
      </c>
      <c r="C12" s="231"/>
      <c r="D12" s="122" t="s">
        <v>91</v>
      </c>
      <c r="E12" s="122" t="str">
        <f t="shared" si="1"/>
        <v>N/A</v>
      </c>
      <c r="F12" s="122" t="str">
        <f t="shared" si="2"/>
        <v>N/A</v>
      </c>
      <c r="G12" s="122" t="s">
        <v>153</v>
      </c>
      <c r="H12" s="122">
        <v>1</v>
      </c>
      <c r="I12" s="168"/>
      <c r="J12" s="174" t="s">
        <v>164</v>
      </c>
      <c r="K12" s="175" t="s">
        <v>164</v>
      </c>
      <c r="M12" s="143" t="s">
        <v>329</v>
      </c>
      <c r="N12" s="144" t="s">
        <v>376</v>
      </c>
      <c r="O12" s="144" t="s">
        <v>306</v>
      </c>
      <c r="P12" s="144" t="s">
        <v>308</v>
      </c>
      <c r="Q12" s="144" t="s">
        <v>352</v>
      </c>
      <c r="R12" s="145" t="s">
        <v>364</v>
      </c>
      <c r="T12" s="72" t="s">
        <v>143</v>
      </c>
      <c r="U12" s="129" t="s">
        <v>143</v>
      </c>
      <c r="V12" s="129" t="s">
        <v>143</v>
      </c>
      <c r="W12" s="129" t="s">
        <v>143</v>
      </c>
      <c r="X12" s="129" t="s">
        <v>143</v>
      </c>
      <c r="Y12" s="129" t="s">
        <v>143</v>
      </c>
      <c r="Z12" s="129" t="s">
        <v>143</v>
      </c>
      <c r="AA12" s="129" t="s">
        <v>143</v>
      </c>
      <c r="AB12" s="129" t="s">
        <v>143</v>
      </c>
      <c r="AC12" s="129" t="s">
        <v>143</v>
      </c>
      <c r="AD12" s="129" t="s">
        <v>143</v>
      </c>
      <c r="AE12" s="129" t="s">
        <v>143</v>
      </c>
      <c r="AF12" s="129" t="s">
        <v>143</v>
      </c>
      <c r="AG12" s="129" t="s">
        <v>143</v>
      </c>
      <c r="AH12" s="129" t="s">
        <v>143</v>
      </c>
      <c r="AI12" s="129" t="s">
        <v>143</v>
      </c>
      <c r="AJ12" s="129" t="s">
        <v>143</v>
      </c>
      <c r="AK12" s="129" t="s">
        <v>143</v>
      </c>
      <c r="AL12" s="129" t="s">
        <v>143</v>
      </c>
      <c r="AM12" s="129" t="s">
        <v>143</v>
      </c>
      <c r="AN12" s="129" t="s">
        <v>143</v>
      </c>
      <c r="AO12" s="129" t="s">
        <v>143</v>
      </c>
      <c r="AP12" s="129" t="s">
        <v>143</v>
      </c>
      <c r="AQ12" s="129" t="s">
        <v>143</v>
      </c>
      <c r="AR12" s="129" t="s">
        <v>143</v>
      </c>
      <c r="AS12" s="33" t="s">
        <v>143</v>
      </c>
    </row>
    <row r="13" spans="1:45" x14ac:dyDescent="0.2">
      <c r="A13" s="276"/>
      <c r="B13" s="231" t="str">
        <f t="shared" si="0"/>
        <v>5.2.6.1 / 7.2.6.2</v>
      </c>
      <c r="C13" s="231"/>
      <c r="D13" s="122" t="s">
        <v>92</v>
      </c>
      <c r="E13" s="122" t="str">
        <f t="shared" si="1"/>
        <v>N/A</v>
      </c>
      <c r="F13" s="122" t="str">
        <f t="shared" si="2"/>
        <v>N/A</v>
      </c>
      <c r="G13" s="122" t="s">
        <v>153</v>
      </c>
      <c r="H13" s="122">
        <v>1</v>
      </c>
      <c r="I13" s="168"/>
      <c r="J13" s="174" t="s">
        <v>164</v>
      </c>
      <c r="K13" s="175" t="s">
        <v>164</v>
      </c>
      <c r="M13" s="143" t="s">
        <v>329</v>
      </c>
      <c r="N13" s="144" t="s">
        <v>376</v>
      </c>
      <c r="O13" s="144" t="s">
        <v>306</v>
      </c>
      <c r="P13" s="144" t="s">
        <v>308</v>
      </c>
      <c r="Q13" s="144" t="s">
        <v>352</v>
      </c>
      <c r="R13" s="145" t="s">
        <v>364</v>
      </c>
      <c r="T13" s="72" t="s">
        <v>143</v>
      </c>
      <c r="U13" s="129" t="s">
        <v>143</v>
      </c>
      <c r="V13" s="129" t="s">
        <v>143</v>
      </c>
      <c r="W13" s="129" t="s">
        <v>143</v>
      </c>
      <c r="X13" s="129" t="s">
        <v>143</v>
      </c>
      <c r="Y13" s="129" t="s">
        <v>143</v>
      </c>
      <c r="Z13" s="129" t="s">
        <v>143</v>
      </c>
      <c r="AA13" s="129" t="s">
        <v>143</v>
      </c>
      <c r="AB13" s="129" t="s">
        <v>143</v>
      </c>
      <c r="AC13" s="129" t="s">
        <v>143</v>
      </c>
      <c r="AD13" s="129" t="s">
        <v>143</v>
      </c>
      <c r="AE13" s="129" t="s">
        <v>143</v>
      </c>
      <c r="AF13" s="129" t="s">
        <v>143</v>
      </c>
      <c r="AG13" s="129" t="s">
        <v>143</v>
      </c>
      <c r="AH13" s="129" t="s">
        <v>143</v>
      </c>
      <c r="AI13" s="129" t="s">
        <v>143</v>
      </c>
      <c r="AJ13" s="129" t="s">
        <v>143</v>
      </c>
      <c r="AK13" s="129" t="s">
        <v>143</v>
      </c>
      <c r="AL13" s="129" t="s">
        <v>143</v>
      </c>
      <c r="AM13" s="129" t="s">
        <v>143</v>
      </c>
      <c r="AN13" s="129" t="s">
        <v>143</v>
      </c>
      <c r="AO13" s="129" t="s">
        <v>143</v>
      </c>
      <c r="AP13" s="129" t="s">
        <v>143</v>
      </c>
      <c r="AQ13" s="129" t="s">
        <v>143</v>
      </c>
      <c r="AR13" s="129" t="s">
        <v>143</v>
      </c>
      <c r="AS13" s="33" t="s">
        <v>143</v>
      </c>
    </row>
    <row r="14" spans="1:45" x14ac:dyDescent="0.2">
      <c r="A14" s="276"/>
      <c r="B14" s="231" t="str">
        <f t="shared" si="0"/>
        <v>5.2.6.1 / 7.2.6.2</v>
      </c>
      <c r="C14" s="231"/>
      <c r="D14" s="122" t="s">
        <v>93</v>
      </c>
      <c r="E14" s="122" t="str">
        <f t="shared" si="1"/>
        <v>N/A</v>
      </c>
      <c r="F14" s="122">
        <f t="shared" si="2"/>
        <v>16</v>
      </c>
      <c r="G14" s="122" t="s">
        <v>153</v>
      </c>
      <c r="H14" s="122">
        <v>1</v>
      </c>
      <c r="I14" s="168"/>
      <c r="J14" s="174" t="s">
        <v>164</v>
      </c>
      <c r="K14" s="175" t="s">
        <v>164</v>
      </c>
      <c r="M14" s="143" t="s">
        <v>329</v>
      </c>
      <c r="N14" s="144" t="s">
        <v>376</v>
      </c>
      <c r="O14" s="144" t="s">
        <v>306</v>
      </c>
      <c r="P14" s="144" t="s">
        <v>308</v>
      </c>
      <c r="Q14" s="144" t="s">
        <v>352</v>
      </c>
      <c r="R14" s="145" t="s">
        <v>364</v>
      </c>
      <c r="T14" s="72" t="s">
        <v>143</v>
      </c>
      <c r="U14" s="129" t="s">
        <v>143</v>
      </c>
      <c r="V14" s="129" t="s">
        <v>143</v>
      </c>
      <c r="W14" s="129" t="s">
        <v>143</v>
      </c>
      <c r="X14" s="129" t="s">
        <v>143</v>
      </c>
      <c r="Y14" s="129" t="s">
        <v>143</v>
      </c>
      <c r="Z14" s="129" t="s">
        <v>143</v>
      </c>
      <c r="AA14" s="129" t="s">
        <v>143</v>
      </c>
      <c r="AB14" s="129" t="s">
        <v>143</v>
      </c>
      <c r="AC14" s="129" t="s">
        <v>143</v>
      </c>
      <c r="AD14" s="129" t="s">
        <v>143</v>
      </c>
      <c r="AE14" s="129" t="s">
        <v>143</v>
      </c>
      <c r="AF14" s="129" t="s">
        <v>143</v>
      </c>
      <c r="AG14" s="129">
        <v>16</v>
      </c>
      <c r="AH14" s="129">
        <v>16</v>
      </c>
      <c r="AI14" s="129">
        <v>16</v>
      </c>
      <c r="AJ14" s="129">
        <v>16</v>
      </c>
      <c r="AK14" s="129">
        <v>16</v>
      </c>
      <c r="AL14" s="129">
        <v>16</v>
      </c>
      <c r="AM14" s="129">
        <v>16</v>
      </c>
      <c r="AN14" s="129">
        <v>16</v>
      </c>
      <c r="AO14" s="129">
        <v>16</v>
      </c>
      <c r="AP14" s="129">
        <v>16</v>
      </c>
      <c r="AQ14" s="129">
        <v>16</v>
      </c>
      <c r="AR14" s="129">
        <v>16</v>
      </c>
      <c r="AS14" s="33">
        <v>16</v>
      </c>
    </row>
    <row r="15" spans="1:45" x14ac:dyDescent="0.2">
      <c r="A15" s="276" t="s">
        <v>301</v>
      </c>
      <c r="B15" s="231" t="str">
        <f t="shared" si="0"/>
        <v>5.3.3 / 7.3.3</v>
      </c>
      <c r="C15" s="231" t="s">
        <v>9</v>
      </c>
      <c r="D15" s="122"/>
      <c r="E15" s="122" t="str">
        <f t="shared" si="1"/>
        <v>N/A</v>
      </c>
      <c r="F15" s="122">
        <f t="shared" si="2"/>
        <v>-64</v>
      </c>
      <c r="G15" s="122" t="s">
        <v>281</v>
      </c>
      <c r="H15" s="122">
        <v>1</v>
      </c>
      <c r="I15" s="168"/>
      <c r="J15" s="174" t="s">
        <v>164</v>
      </c>
      <c r="K15" s="175" t="s">
        <v>164</v>
      </c>
      <c r="M15" s="143" t="s">
        <v>303</v>
      </c>
      <c r="N15" s="144" t="s">
        <v>393</v>
      </c>
      <c r="O15" s="144" t="s">
        <v>338</v>
      </c>
      <c r="P15" s="144" t="s">
        <v>338</v>
      </c>
      <c r="Q15" s="144" t="s">
        <v>353</v>
      </c>
      <c r="R15" s="145" t="s">
        <v>365</v>
      </c>
      <c r="T15" s="72" t="s">
        <v>143</v>
      </c>
      <c r="U15" s="129" t="s">
        <v>143</v>
      </c>
      <c r="V15" s="129" t="s">
        <v>143</v>
      </c>
      <c r="W15" s="129" t="s">
        <v>143</v>
      </c>
      <c r="X15" s="129" t="s">
        <v>143</v>
      </c>
      <c r="Y15" s="129" t="s">
        <v>143</v>
      </c>
      <c r="Z15" s="129" t="s">
        <v>143</v>
      </c>
      <c r="AA15" s="129" t="s">
        <v>143</v>
      </c>
      <c r="AB15" s="129" t="s">
        <v>143</v>
      </c>
      <c r="AC15" s="129" t="s">
        <v>143</v>
      </c>
      <c r="AD15" s="129" t="s">
        <v>143</v>
      </c>
      <c r="AE15" s="129" t="s">
        <v>143</v>
      </c>
      <c r="AF15" s="129" t="s">
        <v>143</v>
      </c>
      <c r="AG15" s="129">
        <v>-64</v>
      </c>
      <c r="AH15" s="129">
        <v>-64</v>
      </c>
      <c r="AI15" s="129">
        <v>-64</v>
      </c>
      <c r="AJ15" s="129">
        <v>-64</v>
      </c>
      <c r="AK15" s="129">
        <v>-64</v>
      </c>
      <c r="AL15" s="129">
        <v>-64</v>
      </c>
      <c r="AM15" s="129">
        <v>-64</v>
      </c>
      <c r="AN15" s="129">
        <v>-64</v>
      </c>
      <c r="AO15" s="129">
        <v>-64</v>
      </c>
      <c r="AP15" s="129">
        <v>-64</v>
      </c>
      <c r="AQ15" s="129">
        <v>-64</v>
      </c>
      <c r="AR15" s="129">
        <v>-64</v>
      </c>
      <c r="AS15" s="33">
        <v>-64</v>
      </c>
    </row>
    <row r="16" spans="1:45" x14ac:dyDescent="0.2">
      <c r="A16" s="276"/>
      <c r="B16" s="231" t="str">
        <f t="shared" si="0"/>
        <v>5.3.3 / 7.3.3</v>
      </c>
      <c r="C16" s="231"/>
      <c r="D16" s="122" t="s">
        <v>279</v>
      </c>
      <c r="E16" s="122" t="str">
        <f t="shared" si="1"/>
        <v>N/A</v>
      </c>
      <c r="F16" s="122">
        <f t="shared" si="2"/>
        <v>-74</v>
      </c>
      <c r="G16" s="124" t="s">
        <v>281</v>
      </c>
      <c r="H16" s="124">
        <v>1</v>
      </c>
      <c r="I16" s="168"/>
      <c r="J16" s="174" t="s">
        <v>164</v>
      </c>
      <c r="K16" s="175" t="s">
        <v>164</v>
      </c>
      <c r="M16" s="143" t="s">
        <v>303</v>
      </c>
      <c r="N16" s="144" t="s">
        <v>393</v>
      </c>
      <c r="O16" s="144" t="s">
        <v>337</v>
      </c>
      <c r="P16" s="144" t="s">
        <v>338</v>
      </c>
      <c r="Q16" s="144" t="s">
        <v>353</v>
      </c>
      <c r="R16" s="145" t="s">
        <v>365</v>
      </c>
      <c r="T16" s="72" t="s">
        <v>143</v>
      </c>
      <c r="U16" s="129" t="s">
        <v>143</v>
      </c>
      <c r="V16" s="129" t="s">
        <v>143</v>
      </c>
      <c r="W16" s="129" t="s">
        <v>143</v>
      </c>
      <c r="X16" s="129" t="s">
        <v>143</v>
      </c>
      <c r="Y16" s="129" t="s">
        <v>143</v>
      </c>
      <c r="Z16" s="129" t="s">
        <v>143</v>
      </c>
      <c r="AA16" s="129" t="s">
        <v>143</v>
      </c>
      <c r="AB16" s="129" t="s">
        <v>143</v>
      </c>
      <c r="AC16" s="129" t="s">
        <v>143</v>
      </c>
      <c r="AD16" s="129" t="s">
        <v>143</v>
      </c>
      <c r="AE16" s="129" t="s">
        <v>143</v>
      </c>
      <c r="AF16" s="129" t="s">
        <v>143</v>
      </c>
      <c r="AG16" s="129">
        <v>-74</v>
      </c>
      <c r="AH16" s="129">
        <v>-74</v>
      </c>
      <c r="AI16" s="129">
        <v>-74</v>
      </c>
      <c r="AJ16" s="129">
        <v>-74</v>
      </c>
      <c r="AK16" s="129">
        <v>-74</v>
      </c>
      <c r="AL16" s="129">
        <v>-74</v>
      </c>
      <c r="AM16" s="129">
        <v>-74</v>
      </c>
      <c r="AN16" s="129">
        <v>-74</v>
      </c>
      <c r="AO16" s="129">
        <v>-74</v>
      </c>
      <c r="AP16" s="129">
        <v>-74</v>
      </c>
      <c r="AQ16" s="129">
        <v>-74</v>
      </c>
      <c r="AR16" s="129">
        <v>-74</v>
      </c>
      <c r="AS16" s="33">
        <v>-74</v>
      </c>
    </row>
    <row r="17" spans="1:45" x14ac:dyDescent="0.2">
      <c r="A17" s="276"/>
      <c r="B17" s="231" t="str">
        <f t="shared" si="0"/>
        <v>5.3.4 / 7.3.4</v>
      </c>
      <c r="C17" s="231" t="s">
        <v>10</v>
      </c>
      <c r="D17" s="122" t="s">
        <v>74</v>
      </c>
      <c r="E17" s="122" t="str">
        <f t="shared" si="1"/>
        <v>N/A</v>
      </c>
      <c r="F17" s="122">
        <f t="shared" si="2"/>
        <v>-84</v>
      </c>
      <c r="G17" s="124" t="s">
        <v>315</v>
      </c>
      <c r="H17" s="124">
        <v>1</v>
      </c>
      <c r="I17" s="168"/>
      <c r="J17" s="174" t="s">
        <v>164</v>
      </c>
      <c r="K17" s="175" t="s">
        <v>164</v>
      </c>
      <c r="M17" s="143" t="s">
        <v>331</v>
      </c>
      <c r="N17" s="144" t="s">
        <v>326</v>
      </c>
      <c r="O17" s="144" t="s">
        <v>340</v>
      </c>
      <c r="P17" s="144" t="s">
        <v>340</v>
      </c>
      <c r="Q17" s="144" t="s">
        <v>354</v>
      </c>
      <c r="R17" s="145" t="s">
        <v>367</v>
      </c>
      <c r="T17" s="72" t="s">
        <v>143</v>
      </c>
      <c r="U17" s="129" t="s">
        <v>143</v>
      </c>
      <c r="V17" s="129" t="s">
        <v>143</v>
      </c>
      <c r="W17" s="129" t="s">
        <v>143</v>
      </c>
      <c r="X17" s="129" t="s">
        <v>143</v>
      </c>
      <c r="Y17" s="129" t="s">
        <v>143</v>
      </c>
      <c r="Z17" s="129" t="s">
        <v>143</v>
      </c>
      <c r="AA17" s="129" t="s">
        <v>143</v>
      </c>
      <c r="AB17" s="129" t="s">
        <v>143</v>
      </c>
      <c r="AC17" s="129" t="s">
        <v>143</v>
      </c>
      <c r="AD17" s="129" t="s">
        <v>143</v>
      </c>
      <c r="AE17" s="129" t="s">
        <v>143</v>
      </c>
      <c r="AF17" s="129" t="s">
        <v>143</v>
      </c>
      <c r="AG17" s="129">
        <v>-84</v>
      </c>
      <c r="AH17" s="129">
        <v>-84</v>
      </c>
      <c r="AI17" s="129">
        <v>-84</v>
      </c>
      <c r="AJ17" s="129">
        <v>-84</v>
      </c>
      <c r="AK17" s="129">
        <v>-84</v>
      </c>
      <c r="AL17" s="129">
        <v>-84</v>
      </c>
      <c r="AM17" s="129">
        <v>-84</v>
      </c>
      <c r="AN17" s="129">
        <v>-84</v>
      </c>
      <c r="AO17" s="129">
        <v>-84</v>
      </c>
      <c r="AP17" s="129">
        <v>-84</v>
      </c>
      <c r="AQ17" s="129">
        <v>-84</v>
      </c>
      <c r="AR17" s="129">
        <v>-84</v>
      </c>
      <c r="AS17" s="33">
        <v>-84</v>
      </c>
    </row>
    <row r="18" spans="1:45" x14ac:dyDescent="0.2">
      <c r="A18" s="276"/>
      <c r="B18" s="231" t="str">
        <f t="shared" si="0"/>
        <v>5.3.4 / 7.3.4</v>
      </c>
      <c r="C18" s="231"/>
      <c r="D18" s="124" t="s">
        <v>85</v>
      </c>
      <c r="E18" s="122" t="str">
        <f t="shared" si="1"/>
        <v>N/A</v>
      </c>
      <c r="F18" s="122">
        <f t="shared" si="2"/>
        <v>-87</v>
      </c>
      <c r="G18" s="124" t="s">
        <v>314</v>
      </c>
      <c r="H18" s="124">
        <v>1</v>
      </c>
      <c r="I18" s="168"/>
      <c r="J18" s="174" t="s">
        <v>164</v>
      </c>
      <c r="K18" s="175" t="s">
        <v>164</v>
      </c>
      <c r="M18" s="143" t="s">
        <v>331</v>
      </c>
      <c r="N18" s="144" t="s">
        <v>326</v>
      </c>
      <c r="O18" s="144" t="s">
        <v>339</v>
      </c>
      <c r="P18" s="144" t="s">
        <v>340</v>
      </c>
      <c r="Q18" s="144" t="s">
        <v>354</v>
      </c>
      <c r="R18" s="145" t="s">
        <v>367</v>
      </c>
      <c r="T18" s="72" t="s">
        <v>143</v>
      </c>
      <c r="U18" s="129" t="s">
        <v>143</v>
      </c>
      <c r="V18" s="129" t="s">
        <v>143</v>
      </c>
      <c r="W18" s="129" t="s">
        <v>143</v>
      </c>
      <c r="X18" s="129" t="s">
        <v>143</v>
      </c>
      <c r="Y18" s="129" t="s">
        <v>143</v>
      </c>
      <c r="Z18" s="129" t="s">
        <v>143</v>
      </c>
      <c r="AA18" s="129" t="s">
        <v>143</v>
      </c>
      <c r="AB18" s="129" t="s">
        <v>143</v>
      </c>
      <c r="AC18" s="129" t="s">
        <v>143</v>
      </c>
      <c r="AD18" s="129" t="s">
        <v>143</v>
      </c>
      <c r="AE18" s="129" t="s">
        <v>143</v>
      </c>
      <c r="AF18" s="129" t="s">
        <v>143</v>
      </c>
      <c r="AG18" s="129">
        <v>-87</v>
      </c>
      <c r="AH18" s="129">
        <v>-87</v>
      </c>
      <c r="AI18" s="129">
        <v>-87</v>
      </c>
      <c r="AJ18" s="129">
        <v>-87</v>
      </c>
      <c r="AK18" s="129">
        <v>-87</v>
      </c>
      <c r="AL18" s="129">
        <v>-87</v>
      </c>
      <c r="AM18" s="129">
        <v>-87</v>
      </c>
      <c r="AN18" s="129">
        <v>-87</v>
      </c>
      <c r="AO18" s="129">
        <v>-87</v>
      </c>
      <c r="AP18" s="129">
        <v>-87</v>
      </c>
      <c r="AQ18" s="129">
        <v>-87</v>
      </c>
      <c r="AR18" s="129">
        <v>-87</v>
      </c>
      <c r="AS18" s="33">
        <v>-87</v>
      </c>
    </row>
    <row r="19" spans="1:45" x14ac:dyDescent="0.2">
      <c r="A19" s="276"/>
      <c r="B19" s="231" t="str">
        <f t="shared" si="0"/>
        <v>5.3.4 / 7.3.4</v>
      </c>
      <c r="C19" s="231"/>
      <c r="D19" s="124" t="s">
        <v>279</v>
      </c>
      <c r="E19" s="122" t="str">
        <f t="shared" si="1"/>
        <v>N/A</v>
      </c>
      <c r="F19" s="122">
        <f t="shared" si="2"/>
        <v>-90</v>
      </c>
      <c r="G19" s="124" t="s">
        <v>314</v>
      </c>
      <c r="H19" s="124">
        <v>1</v>
      </c>
      <c r="I19" s="168"/>
      <c r="J19" s="174" t="s">
        <v>164</v>
      </c>
      <c r="K19" s="175" t="s">
        <v>164</v>
      </c>
      <c r="M19" s="143" t="s">
        <v>331</v>
      </c>
      <c r="N19" s="144" t="s">
        <v>326</v>
      </c>
      <c r="O19" s="144" t="s">
        <v>339</v>
      </c>
      <c r="P19" s="144" t="s">
        <v>340</v>
      </c>
      <c r="Q19" s="144" t="s">
        <v>354</v>
      </c>
      <c r="R19" s="145" t="s">
        <v>367</v>
      </c>
      <c r="T19" s="72" t="s">
        <v>143</v>
      </c>
      <c r="U19" s="129" t="s">
        <v>143</v>
      </c>
      <c r="V19" s="129" t="s">
        <v>143</v>
      </c>
      <c r="W19" s="129" t="s">
        <v>143</v>
      </c>
      <c r="X19" s="129" t="s">
        <v>143</v>
      </c>
      <c r="Y19" s="129" t="s">
        <v>143</v>
      </c>
      <c r="Z19" s="129" t="s">
        <v>143</v>
      </c>
      <c r="AA19" s="129" t="s">
        <v>143</v>
      </c>
      <c r="AB19" s="129" t="s">
        <v>143</v>
      </c>
      <c r="AC19" s="129" t="s">
        <v>143</v>
      </c>
      <c r="AD19" s="129" t="s">
        <v>143</v>
      </c>
      <c r="AE19" s="129" t="s">
        <v>143</v>
      </c>
      <c r="AF19" s="129" t="s">
        <v>143</v>
      </c>
      <c r="AG19" s="129">
        <v>-90</v>
      </c>
      <c r="AH19" s="129">
        <v>-90</v>
      </c>
      <c r="AI19" s="129">
        <v>-90</v>
      </c>
      <c r="AJ19" s="129">
        <v>-90</v>
      </c>
      <c r="AK19" s="129">
        <v>-90</v>
      </c>
      <c r="AL19" s="129">
        <v>-90</v>
      </c>
      <c r="AM19" s="129">
        <v>-90</v>
      </c>
      <c r="AN19" s="129">
        <v>-90</v>
      </c>
      <c r="AO19" s="129">
        <v>-90</v>
      </c>
      <c r="AP19" s="129">
        <v>-90</v>
      </c>
      <c r="AQ19" s="129">
        <v>-90</v>
      </c>
      <c r="AR19" s="129">
        <v>-90</v>
      </c>
      <c r="AS19" s="33">
        <v>-90</v>
      </c>
    </row>
    <row r="20" spans="1:45" x14ac:dyDescent="0.2">
      <c r="A20" s="278" t="s">
        <v>12</v>
      </c>
      <c r="B20" s="124" t="str">
        <f t="shared" si="0"/>
        <v>5.4.7 / 7.4.7</v>
      </c>
      <c r="C20" s="122" t="s">
        <v>9</v>
      </c>
      <c r="D20" s="124"/>
      <c r="E20" s="122">
        <f t="shared" si="1"/>
        <v>0</v>
      </c>
      <c r="F20" s="122" t="str">
        <f t="shared" si="2"/>
        <v>N/A</v>
      </c>
      <c r="G20" s="124" t="s">
        <v>49</v>
      </c>
      <c r="H20" s="124">
        <f>IF(VCBW="AMR_WB",2,1)</f>
        <v>1</v>
      </c>
      <c r="I20" s="168"/>
      <c r="J20" s="174" t="s">
        <v>164</v>
      </c>
      <c r="K20" s="175" t="s">
        <v>164</v>
      </c>
      <c r="M20" s="143" t="s">
        <v>323</v>
      </c>
      <c r="N20" s="144" t="s">
        <v>327</v>
      </c>
      <c r="O20" s="144" t="s">
        <v>319</v>
      </c>
      <c r="P20" s="144" t="s">
        <v>319</v>
      </c>
      <c r="Q20" s="144" t="s">
        <v>355</v>
      </c>
      <c r="R20" s="145" t="s">
        <v>368</v>
      </c>
      <c r="T20" s="72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 t="s">
        <v>21</v>
      </c>
      <c r="AH20" s="129" t="s">
        <v>143</v>
      </c>
      <c r="AI20" s="129" t="s">
        <v>143</v>
      </c>
      <c r="AJ20" s="129" t="s">
        <v>143</v>
      </c>
      <c r="AK20" s="129" t="s">
        <v>143</v>
      </c>
      <c r="AL20" s="129" t="s">
        <v>143</v>
      </c>
      <c r="AM20" s="129" t="s">
        <v>143</v>
      </c>
      <c r="AN20" s="129" t="s">
        <v>143</v>
      </c>
      <c r="AO20" s="129" t="s">
        <v>143</v>
      </c>
      <c r="AP20" s="129" t="s">
        <v>143</v>
      </c>
      <c r="AQ20" s="129" t="s">
        <v>143</v>
      </c>
      <c r="AR20" s="129" t="s">
        <v>143</v>
      </c>
      <c r="AS20" s="33" t="s">
        <v>143</v>
      </c>
    </row>
    <row r="21" spans="1:45" x14ac:dyDescent="0.2">
      <c r="A21" s="278"/>
      <c r="B21" s="124" t="str">
        <f t="shared" si="0"/>
        <v>5.4.8 / 7.4.8</v>
      </c>
      <c r="C21" s="122" t="s">
        <v>10</v>
      </c>
      <c r="D21" s="122" t="s">
        <v>86</v>
      </c>
      <c r="E21" s="122">
        <f t="shared" si="1"/>
        <v>0</v>
      </c>
      <c r="F21" s="122" t="str">
        <f t="shared" si="2"/>
        <v>N/A</v>
      </c>
      <c r="G21" s="124" t="s">
        <v>49</v>
      </c>
      <c r="H21" s="124">
        <v>1</v>
      </c>
      <c r="I21" s="168"/>
      <c r="J21" s="174" t="s">
        <v>164</v>
      </c>
      <c r="K21" s="175" t="s">
        <v>164</v>
      </c>
      <c r="M21" s="143" t="s">
        <v>332</v>
      </c>
      <c r="N21" s="144" t="s">
        <v>328</v>
      </c>
      <c r="O21" s="144" t="s">
        <v>321</v>
      </c>
      <c r="P21" s="144" t="s">
        <v>321</v>
      </c>
      <c r="Q21" s="144" t="s">
        <v>356</v>
      </c>
      <c r="R21" s="145" t="s">
        <v>369</v>
      </c>
      <c r="T21" s="72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 t="s">
        <v>143</v>
      </c>
      <c r="AH21" s="129" t="s">
        <v>143</v>
      </c>
      <c r="AI21" s="129" t="s">
        <v>143</v>
      </c>
      <c r="AJ21" s="129" t="s">
        <v>143</v>
      </c>
      <c r="AK21" s="129" t="s">
        <v>143</v>
      </c>
      <c r="AL21" s="129" t="s">
        <v>143</v>
      </c>
      <c r="AM21" s="129" t="s">
        <v>143</v>
      </c>
      <c r="AN21" s="129" t="s">
        <v>143</v>
      </c>
      <c r="AO21" s="129" t="s">
        <v>143</v>
      </c>
      <c r="AP21" s="129" t="s">
        <v>143</v>
      </c>
      <c r="AQ21" s="129" t="s">
        <v>143</v>
      </c>
      <c r="AR21" s="129" t="s">
        <v>143</v>
      </c>
      <c r="AS21" s="33" t="s">
        <v>143</v>
      </c>
    </row>
    <row r="22" spans="1:45" x14ac:dyDescent="0.2">
      <c r="A22" s="278" t="s">
        <v>15</v>
      </c>
      <c r="B22" s="247" t="str">
        <f t="shared" si="0"/>
        <v>5.7.6 / 7.7.5</v>
      </c>
      <c r="C22" s="231" t="s">
        <v>16</v>
      </c>
      <c r="D22" s="122" t="s">
        <v>310</v>
      </c>
      <c r="E22" s="122">
        <f t="shared" si="1"/>
        <v>46</v>
      </c>
      <c r="F22" s="122" t="str">
        <f t="shared" si="2"/>
        <v>N/A</v>
      </c>
      <c r="G22" s="124" t="s">
        <v>49</v>
      </c>
      <c r="H22" s="124">
        <v>1</v>
      </c>
      <c r="I22" s="168"/>
      <c r="J22" s="174" t="s">
        <v>165</v>
      </c>
      <c r="K22" s="175" t="s">
        <v>164</v>
      </c>
      <c r="M22" s="143" t="s">
        <v>333</v>
      </c>
      <c r="N22" s="144" t="s">
        <v>381</v>
      </c>
      <c r="O22" s="144" t="s">
        <v>394</v>
      </c>
      <c r="P22" s="144" t="s">
        <v>324</v>
      </c>
      <c r="Q22" s="144" t="s">
        <v>358</v>
      </c>
      <c r="R22" s="145" t="s">
        <v>370</v>
      </c>
      <c r="T22" s="72">
        <v>46</v>
      </c>
      <c r="U22" s="129">
        <v>46</v>
      </c>
      <c r="V22" s="129">
        <v>46</v>
      </c>
      <c r="W22" s="129">
        <v>46</v>
      </c>
      <c r="X22" s="129">
        <v>46</v>
      </c>
      <c r="Y22" s="129">
        <v>46</v>
      </c>
      <c r="Z22" s="129">
        <v>46</v>
      </c>
      <c r="AA22" s="129">
        <v>46</v>
      </c>
      <c r="AB22" s="129">
        <v>46</v>
      </c>
      <c r="AC22" s="129">
        <v>46</v>
      </c>
      <c r="AD22" s="129">
        <v>46</v>
      </c>
      <c r="AE22" s="129">
        <v>46</v>
      </c>
      <c r="AF22" s="129">
        <v>46</v>
      </c>
      <c r="AG22" s="129" t="s">
        <v>143</v>
      </c>
      <c r="AH22" s="129" t="s">
        <v>143</v>
      </c>
      <c r="AI22" s="129" t="s">
        <v>143</v>
      </c>
      <c r="AJ22" s="129" t="s">
        <v>143</v>
      </c>
      <c r="AK22" s="129" t="s">
        <v>143</v>
      </c>
      <c r="AL22" s="129" t="s">
        <v>143</v>
      </c>
      <c r="AM22" s="129" t="s">
        <v>143</v>
      </c>
      <c r="AN22" s="129" t="s">
        <v>143</v>
      </c>
      <c r="AO22" s="129" t="s">
        <v>143</v>
      </c>
      <c r="AP22" s="129" t="s">
        <v>143</v>
      </c>
      <c r="AQ22" s="129" t="s">
        <v>143</v>
      </c>
      <c r="AR22" s="129" t="s">
        <v>143</v>
      </c>
      <c r="AS22" s="33" t="s">
        <v>143</v>
      </c>
    </row>
    <row r="23" spans="1:45" x14ac:dyDescent="0.2">
      <c r="A23" s="278"/>
      <c r="B23" s="247" t="str">
        <f t="shared" si="0"/>
        <v>5.7.6 / 7.7.5</v>
      </c>
      <c r="C23" s="231"/>
      <c r="D23" s="122" t="s">
        <v>86</v>
      </c>
      <c r="E23" s="122">
        <f t="shared" si="1"/>
        <v>55</v>
      </c>
      <c r="F23" s="122" t="str">
        <f t="shared" si="2"/>
        <v>N/A</v>
      </c>
      <c r="G23" s="124" t="s">
        <v>49</v>
      </c>
      <c r="H23" s="124">
        <v>1</v>
      </c>
      <c r="I23" s="168"/>
      <c r="J23" s="174" t="s">
        <v>164</v>
      </c>
      <c r="K23" s="175" t="s">
        <v>164</v>
      </c>
      <c r="M23" s="143" t="s">
        <v>333</v>
      </c>
      <c r="N23" s="144" t="s">
        <v>380</v>
      </c>
      <c r="O23" s="144" t="s">
        <v>394</v>
      </c>
      <c r="P23" s="144" t="s">
        <v>324</v>
      </c>
      <c r="Q23" s="144" t="s">
        <v>357</v>
      </c>
      <c r="R23" s="145" t="s">
        <v>370</v>
      </c>
      <c r="T23" s="72">
        <v>55</v>
      </c>
      <c r="U23" s="129">
        <v>55</v>
      </c>
      <c r="V23" s="129">
        <v>55</v>
      </c>
      <c r="W23" s="129">
        <v>55</v>
      </c>
      <c r="X23" s="129">
        <v>55</v>
      </c>
      <c r="Y23" s="129">
        <v>55</v>
      </c>
      <c r="Z23" s="129">
        <v>55</v>
      </c>
      <c r="AA23" s="129">
        <v>55</v>
      </c>
      <c r="AB23" s="129">
        <v>55</v>
      </c>
      <c r="AC23" s="129">
        <v>55</v>
      </c>
      <c r="AD23" s="129">
        <v>55</v>
      </c>
      <c r="AE23" s="129">
        <v>55</v>
      </c>
      <c r="AF23" s="129">
        <v>55</v>
      </c>
      <c r="AG23" s="129" t="s">
        <v>143</v>
      </c>
      <c r="AH23" s="129" t="s">
        <v>143</v>
      </c>
      <c r="AI23" s="129" t="s">
        <v>143</v>
      </c>
      <c r="AJ23" s="129" t="s">
        <v>143</v>
      </c>
      <c r="AK23" s="129" t="s">
        <v>143</v>
      </c>
      <c r="AL23" s="129" t="s">
        <v>143</v>
      </c>
      <c r="AM23" s="129" t="s">
        <v>143</v>
      </c>
      <c r="AN23" s="129" t="s">
        <v>143</v>
      </c>
      <c r="AO23" s="129" t="s">
        <v>143</v>
      </c>
      <c r="AP23" s="129" t="s">
        <v>143</v>
      </c>
      <c r="AQ23" s="129" t="s">
        <v>143</v>
      </c>
      <c r="AR23" s="129" t="s">
        <v>143</v>
      </c>
      <c r="AS23" s="33" t="s">
        <v>143</v>
      </c>
    </row>
    <row r="24" spans="1:45" x14ac:dyDescent="0.2">
      <c r="A24" s="278"/>
      <c r="B24" s="247" t="str">
        <f t="shared" si="0"/>
        <v>5.7.6 / 7.7.5</v>
      </c>
      <c r="C24" s="231"/>
      <c r="D24" s="122" t="s">
        <v>325</v>
      </c>
      <c r="E24" s="122">
        <f t="shared" si="1"/>
        <v>46</v>
      </c>
      <c r="F24" s="122" t="str">
        <f t="shared" si="2"/>
        <v>N/A</v>
      </c>
      <c r="G24" s="124" t="s">
        <v>49</v>
      </c>
      <c r="H24" s="124">
        <v>1</v>
      </c>
      <c r="I24" s="168"/>
      <c r="J24" s="174" t="s">
        <v>164</v>
      </c>
      <c r="K24" s="175" t="s">
        <v>164</v>
      </c>
      <c r="M24" s="143" t="s">
        <v>333</v>
      </c>
      <c r="N24" s="144" t="s">
        <v>380</v>
      </c>
      <c r="O24" s="144" t="s">
        <v>394</v>
      </c>
      <c r="P24" s="144" t="s">
        <v>324</v>
      </c>
      <c r="Q24" s="144" t="s">
        <v>357</v>
      </c>
      <c r="R24" s="145" t="s">
        <v>370</v>
      </c>
      <c r="T24" s="72">
        <v>46</v>
      </c>
      <c r="U24" s="129">
        <v>46</v>
      </c>
      <c r="V24" s="129">
        <v>46</v>
      </c>
      <c r="W24" s="129">
        <v>46</v>
      </c>
      <c r="X24" s="129">
        <v>46</v>
      </c>
      <c r="Y24" s="129">
        <v>46</v>
      </c>
      <c r="Z24" s="129">
        <v>46</v>
      </c>
      <c r="AA24" s="129">
        <v>46</v>
      </c>
      <c r="AB24" s="129">
        <v>46</v>
      </c>
      <c r="AC24" s="129">
        <v>46</v>
      </c>
      <c r="AD24" s="129">
        <v>46</v>
      </c>
      <c r="AE24" s="129">
        <v>46</v>
      </c>
      <c r="AF24" s="129">
        <v>46</v>
      </c>
      <c r="AG24" s="129" t="s">
        <v>143</v>
      </c>
      <c r="AH24" s="129" t="s">
        <v>143</v>
      </c>
      <c r="AI24" s="129" t="s">
        <v>143</v>
      </c>
      <c r="AJ24" s="129" t="s">
        <v>143</v>
      </c>
      <c r="AK24" s="129" t="s">
        <v>143</v>
      </c>
      <c r="AL24" s="129" t="s">
        <v>143</v>
      </c>
      <c r="AM24" s="129" t="s">
        <v>143</v>
      </c>
      <c r="AN24" s="129" t="s">
        <v>143</v>
      </c>
      <c r="AO24" s="129" t="s">
        <v>143</v>
      </c>
      <c r="AP24" s="129" t="s">
        <v>143</v>
      </c>
      <c r="AQ24" s="129" t="s">
        <v>143</v>
      </c>
      <c r="AR24" s="129" t="s">
        <v>143</v>
      </c>
      <c r="AS24" s="33" t="s">
        <v>143</v>
      </c>
    </row>
    <row r="25" spans="1:45" x14ac:dyDescent="0.2">
      <c r="A25" s="278" t="s">
        <v>17</v>
      </c>
      <c r="B25" s="263" t="str">
        <f t="shared" si="0"/>
        <v>5.8.3 / 7.8.1</v>
      </c>
      <c r="C25" s="122" t="s">
        <v>230</v>
      </c>
      <c r="D25" s="122"/>
      <c r="E25" s="122" t="str">
        <f t="shared" si="1"/>
        <v>mask</v>
      </c>
      <c r="F25" s="122" t="str">
        <f t="shared" si="2"/>
        <v>N/A</v>
      </c>
      <c r="G25" s="124" t="s">
        <v>21</v>
      </c>
      <c r="H25" s="124">
        <v>1</v>
      </c>
      <c r="I25" s="180"/>
      <c r="J25" s="184" t="s">
        <v>164</v>
      </c>
      <c r="K25" s="185" t="s">
        <v>164</v>
      </c>
      <c r="M25" s="143" t="s">
        <v>334</v>
      </c>
      <c r="N25" s="144" t="s">
        <v>383</v>
      </c>
      <c r="O25" s="144" t="s">
        <v>398</v>
      </c>
      <c r="P25" s="144" t="s">
        <v>341</v>
      </c>
      <c r="Q25" s="144" t="s">
        <v>360</v>
      </c>
      <c r="R25" s="145" t="s">
        <v>371</v>
      </c>
      <c r="T25" s="72" t="s">
        <v>322</v>
      </c>
      <c r="U25" s="129" t="s">
        <v>144</v>
      </c>
      <c r="V25" s="129" t="s">
        <v>144</v>
      </c>
      <c r="W25" s="129" t="s">
        <v>144</v>
      </c>
      <c r="X25" s="129" t="s">
        <v>144</v>
      </c>
      <c r="Y25" s="129" t="s">
        <v>144</v>
      </c>
      <c r="Z25" s="129" t="s">
        <v>144</v>
      </c>
      <c r="AA25" s="129" t="s">
        <v>144</v>
      </c>
      <c r="AB25" s="129" t="s">
        <v>144</v>
      </c>
      <c r="AC25" s="129" t="s">
        <v>144</v>
      </c>
      <c r="AD25" s="129" t="s">
        <v>144</v>
      </c>
      <c r="AE25" s="129" t="s">
        <v>144</v>
      </c>
      <c r="AF25" s="129" t="s">
        <v>144</v>
      </c>
      <c r="AG25" s="129" t="s">
        <v>21</v>
      </c>
      <c r="AH25" s="129" t="s">
        <v>143</v>
      </c>
      <c r="AI25" s="129" t="s">
        <v>143</v>
      </c>
      <c r="AJ25" s="129" t="s">
        <v>143</v>
      </c>
      <c r="AK25" s="129" t="s">
        <v>143</v>
      </c>
      <c r="AL25" s="129" t="s">
        <v>143</v>
      </c>
      <c r="AM25" s="129" t="s">
        <v>143</v>
      </c>
      <c r="AN25" s="129" t="s">
        <v>143</v>
      </c>
      <c r="AO25" s="129" t="s">
        <v>143</v>
      </c>
      <c r="AP25" s="129" t="s">
        <v>143</v>
      </c>
      <c r="AQ25" s="129" t="s">
        <v>143</v>
      </c>
      <c r="AR25" s="129" t="s">
        <v>143</v>
      </c>
      <c r="AS25" s="33" t="s">
        <v>143</v>
      </c>
    </row>
    <row r="26" spans="1:45" x14ac:dyDescent="0.2">
      <c r="A26" s="278"/>
      <c r="B26" s="265" t="str">
        <f t="shared" si="0"/>
        <v>× / 7.8.1</v>
      </c>
      <c r="C26" s="122" t="s">
        <v>375</v>
      </c>
      <c r="D26" s="122"/>
      <c r="E26" s="122" t="str">
        <f t="shared" si="1"/>
        <v>mask</v>
      </c>
      <c r="F26" s="122" t="str">
        <f t="shared" si="2"/>
        <v>N/A</v>
      </c>
      <c r="G26" s="124" t="s">
        <v>21</v>
      </c>
      <c r="H26" s="124">
        <v>1</v>
      </c>
      <c r="I26" s="180"/>
      <c r="J26" s="184" t="s">
        <v>165</v>
      </c>
      <c r="K26" s="185" t="s">
        <v>164</v>
      </c>
      <c r="M26" s="143" t="s">
        <v>515</v>
      </c>
      <c r="N26" s="144" t="s">
        <v>382</v>
      </c>
      <c r="O26" s="144" t="s">
        <v>396</v>
      </c>
      <c r="P26" s="144" t="s">
        <v>341</v>
      </c>
      <c r="Q26" s="144" t="s">
        <v>359</v>
      </c>
      <c r="R26" s="145" t="s">
        <v>366</v>
      </c>
      <c r="T26" s="72" t="s">
        <v>144</v>
      </c>
      <c r="U26" s="129" t="s">
        <v>144</v>
      </c>
      <c r="V26" s="129" t="s">
        <v>144</v>
      </c>
      <c r="W26" s="129" t="s">
        <v>144</v>
      </c>
      <c r="X26" s="129" t="s">
        <v>144</v>
      </c>
      <c r="Y26" s="129" t="s">
        <v>144</v>
      </c>
      <c r="Z26" s="129" t="s">
        <v>144</v>
      </c>
      <c r="AA26" s="129" t="s">
        <v>144</v>
      </c>
      <c r="AB26" s="129" t="s">
        <v>144</v>
      </c>
      <c r="AC26" s="129" t="s">
        <v>144</v>
      </c>
      <c r="AD26" s="129" t="s">
        <v>144</v>
      </c>
      <c r="AE26" s="129" t="s">
        <v>144</v>
      </c>
      <c r="AF26" s="129" t="s">
        <v>144</v>
      </c>
      <c r="AG26" s="129" t="s">
        <v>143</v>
      </c>
      <c r="AH26" s="129" t="s">
        <v>143</v>
      </c>
      <c r="AI26" s="129" t="s">
        <v>143</v>
      </c>
      <c r="AJ26" s="129" t="s">
        <v>143</v>
      </c>
      <c r="AK26" s="129" t="s">
        <v>143</v>
      </c>
      <c r="AL26" s="129" t="s">
        <v>143</v>
      </c>
      <c r="AM26" s="129" t="s">
        <v>143</v>
      </c>
      <c r="AN26" s="129" t="s">
        <v>143</v>
      </c>
      <c r="AO26" s="129" t="s">
        <v>143</v>
      </c>
      <c r="AP26" s="129" t="s">
        <v>143</v>
      </c>
      <c r="AQ26" s="129" t="s">
        <v>143</v>
      </c>
      <c r="AR26" s="129" t="s">
        <v>143</v>
      </c>
      <c r="AS26" s="33" t="s">
        <v>143</v>
      </c>
    </row>
    <row r="27" spans="1:45" x14ac:dyDescent="0.2">
      <c r="A27" s="278"/>
      <c r="B27" s="247" t="str">
        <f t="shared" si="0"/>
        <v>5.8.4 / 7.8.2</v>
      </c>
      <c r="C27" s="122" t="s">
        <v>231</v>
      </c>
      <c r="D27" s="122" t="s">
        <v>86</v>
      </c>
      <c r="E27" s="122" t="str">
        <f t="shared" si="1"/>
        <v>mask</v>
      </c>
      <c r="F27" s="122" t="str">
        <f t="shared" si="2"/>
        <v>N/A</v>
      </c>
      <c r="G27" s="124" t="s">
        <v>143</v>
      </c>
      <c r="H27" s="124">
        <v>1</v>
      </c>
      <c r="I27" s="180"/>
      <c r="J27" s="184" t="s">
        <v>164</v>
      </c>
      <c r="K27" s="185" t="s">
        <v>164</v>
      </c>
      <c r="M27" s="143" t="s">
        <v>336</v>
      </c>
      <c r="N27" s="144" t="s">
        <v>385</v>
      </c>
      <c r="O27" s="144" t="s">
        <v>397</v>
      </c>
      <c r="P27" s="144" t="s">
        <v>342</v>
      </c>
      <c r="Q27" s="144" t="s">
        <v>361</v>
      </c>
      <c r="R27" s="145" t="s">
        <v>372</v>
      </c>
      <c r="T27" s="72" t="s">
        <v>144</v>
      </c>
      <c r="U27" s="129" t="s">
        <v>144</v>
      </c>
      <c r="V27" s="129" t="s">
        <v>144</v>
      </c>
      <c r="W27" s="129" t="s">
        <v>144</v>
      </c>
      <c r="X27" s="129" t="s">
        <v>144</v>
      </c>
      <c r="Y27" s="129" t="s">
        <v>144</v>
      </c>
      <c r="Z27" s="129" t="s">
        <v>144</v>
      </c>
      <c r="AA27" s="129" t="s">
        <v>144</v>
      </c>
      <c r="AB27" s="129" t="s">
        <v>144</v>
      </c>
      <c r="AC27" s="129" t="s">
        <v>144</v>
      </c>
      <c r="AD27" s="129" t="s">
        <v>144</v>
      </c>
      <c r="AE27" s="129" t="s">
        <v>144</v>
      </c>
      <c r="AF27" s="129" t="s">
        <v>144</v>
      </c>
      <c r="AG27" s="129" t="s">
        <v>143</v>
      </c>
      <c r="AH27" s="129" t="s">
        <v>143</v>
      </c>
      <c r="AI27" s="129" t="s">
        <v>143</v>
      </c>
      <c r="AJ27" s="129" t="s">
        <v>143</v>
      </c>
      <c r="AK27" s="129" t="s">
        <v>143</v>
      </c>
      <c r="AL27" s="129" t="s">
        <v>143</v>
      </c>
      <c r="AM27" s="129" t="s">
        <v>143</v>
      </c>
      <c r="AN27" s="129" t="s">
        <v>143</v>
      </c>
      <c r="AO27" s="129" t="s">
        <v>143</v>
      </c>
      <c r="AP27" s="129" t="s">
        <v>143</v>
      </c>
      <c r="AQ27" s="129" t="s">
        <v>143</v>
      </c>
      <c r="AR27" s="129" t="s">
        <v>143</v>
      </c>
      <c r="AS27" s="33" t="s">
        <v>143</v>
      </c>
    </row>
    <row r="28" spans="1:45" x14ac:dyDescent="0.2">
      <c r="A28" s="278"/>
      <c r="B28" s="247" t="str">
        <f t="shared" si="0"/>
        <v>5.8.4 / 7.8.2</v>
      </c>
      <c r="C28" s="122" t="s">
        <v>232</v>
      </c>
      <c r="D28" s="122" t="s">
        <v>86</v>
      </c>
      <c r="E28" s="122" t="str">
        <f t="shared" si="1"/>
        <v>mask</v>
      </c>
      <c r="F28" s="122" t="str">
        <f t="shared" si="2"/>
        <v>N/A</v>
      </c>
      <c r="G28" s="124" t="s">
        <v>143</v>
      </c>
      <c r="H28" s="124">
        <v>1</v>
      </c>
      <c r="I28" s="180"/>
      <c r="J28" s="184" t="s">
        <v>164</v>
      </c>
      <c r="K28" s="185" t="s">
        <v>164</v>
      </c>
      <c r="M28" s="143" t="s">
        <v>336</v>
      </c>
      <c r="N28" s="144" t="s">
        <v>384</v>
      </c>
      <c r="O28" s="144" t="s">
        <v>397</v>
      </c>
      <c r="P28" s="144" t="s">
        <v>342</v>
      </c>
      <c r="Q28" s="144" t="s">
        <v>361</v>
      </c>
      <c r="R28" s="145" t="s">
        <v>372</v>
      </c>
      <c r="T28" s="72" t="s">
        <v>144</v>
      </c>
      <c r="U28" s="129" t="s">
        <v>144</v>
      </c>
      <c r="V28" s="129" t="s">
        <v>144</v>
      </c>
      <c r="W28" s="129" t="s">
        <v>144</v>
      </c>
      <c r="X28" s="129" t="s">
        <v>144</v>
      </c>
      <c r="Y28" s="129" t="s">
        <v>144</v>
      </c>
      <c r="Z28" s="129" t="s">
        <v>144</v>
      </c>
      <c r="AA28" s="129" t="s">
        <v>144</v>
      </c>
      <c r="AB28" s="129" t="s">
        <v>144</v>
      </c>
      <c r="AC28" s="129" t="s">
        <v>144</v>
      </c>
      <c r="AD28" s="129" t="s">
        <v>144</v>
      </c>
      <c r="AE28" s="129" t="s">
        <v>144</v>
      </c>
      <c r="AF28" s="129" t="s">
        <v>144</v>
      </c>
      <c r="AG28" s="129" t="s">
        <v>143</v>
      </c>
      <c r="AH28" s="129" t="s">
        <v>143</v>
      </c>
      <c r="AI28" s="129" t="s">
        <v>143</v>
      </c>
      <c r="AJ28" s="129" t="s">
        <v>143</v>
      </c>
      <c r="AK28" s="129" t="s">
        <v>143</v>
      </c>
      <c r="AL28" s="129" t="s">
        <v>143</v>
      </c>
      <c r="AM28" s="129" t="s">
        <v>143</v>
      </c>
      <c r="AN28" s="129" t="s">
        <v>143</v>
      </c>
      <c r="AO28" s="129" t="s">
        <v>143</v>
      </c>
      <c r="AP28" s="129" t="s">
        <v>143</v>
      </c>
      <c r="AQ28" s="129" t="s">
        <v>143</v>
      </c>
      <c r="AR28" s="129" t="s">
        <v>143</v>
      </c>
      <c r="AS28" s="33" t="s">
        <v>143</v>
      </c>
    </row>
    <row r="29" spans="1:45" x14ac:dyDescent="0.2">
      <c r="A29" s="126" t="s">
        <v>4</v>
      </c>
      <c r="B29" s="124" t="str">
        <f t="shared" si="0"/>
        <v>5.12.3 / 7.10</v>
      </c>
      <c r="C29" s="122" t="s">
        <v>67</v>
      </c>
      <c r="D29" s="122" t="s">
        <v>19</v>
      </c>
      <c r="E29" s="122">
        <f t="shared" si="1"/>
        <v>0</v>
      </c>
      <c r="F29" s="122">
        <f t="shared" si="2"/>
        <v>190</v>
      </c>
      <c r="G29" s="124" t="s">
        <v>52</v>
      </c>
      <c r="H29" s="124">
        <v>1</v>
      </c>
      <c r="I29" s="168"/>
      <c r="J29" s="174" t="s">
        <v>164</v>
      </c>
      <c r="K29" s="175" t="s">
        <v>164</v>
      </c>
      <c r="M29" s="143" t="s">
        <v>343</v>
      </c>
      <c r="N29" s="144" t="s">
        <v>388</v>
      </c>
      <c r="O29" s="144" t="s">
        <v>402</v>
      </c>
      <c r="P29" s="144" t="s">
        <v>451</v>
      </c>
      <c r="Q29" s="144" t="s">
        <v>453</v>
      </c>
      <c r="R29" s="145" t="s">
        <v>455</v>
      </c>
      <c r="T29" s="72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0</v>
      </c>
      <c r="AB29" s="129">
        <v>0</v>
      </c>
      <c r="AC29" s="129">
        <v>0</v>
      </c>
      <c r="AD29" s="129">
        <v>0</v>
      </c>
      <c r="AE29" s="129">
        <v>0</v>
      </c>
      <c r="AF29" s="129">
        <v>0</v>
      </c>
      <c r="AG29" s="129">
        <v>220</v>
      </c>
      <c r="AH29" s="129">
        <v>220</v>
      </c>
      <c r="AI29" s="129">
        <v>190</v>
      </c>
      <c r="AJ29" s="129">
        <v>190</v>
      </c>
      <c r="AK29" s="129">
        <v>190</v>
      </c>
      <c r="AL29" s="129">
        <v>190</v>
      </c>
      <c r="AM29" s="129">
        <v>190</v>
      </c>
      <c r="AN29" s="129">
        <v>220</v>
      </c>
      <c r="AO29" s="129">
        <v>220</v>
      </c>
      <c r="AP29" s="129">
        <v>220</v>
      </c>
      <c r="AQ29" s="129">
        <v>220</v>
      </c>
      <c r="AR29" s="129" t="s">
        <v>143</v>
      </c>
      <c r="AS29" s="33" t="s">
        <v>143</v>
      </c>
    </row>
    <row r="30" spans="1:45" x14ac:dyDescent="0.2">
      <c r="A30" s="278" t="s">
        <v>20</v>
      </c>
      <c r="B30" s="247" t="str">
        <f t="shared" si="0"/>
        <v>5.13.5 / 7.11</v>
      </c>
      <c r="C30" s="221" t="s">
        <v>172</v>
      </c>
      <c r="D30" s="122" t="s">
        <v>661</v>
      </c>
      <c r="E30" s="122">
        <f t="shared" si="1"/>
        <v>0.9</v>
      </c>
      <c r="F30" s="122">
        <f t="shared" si="2"/>
        <v>1</v>
      </c>
      <c r="G30" s="124" t="s">
        <v>345</v>
      </c>
      <c r="H30" s="124">
        <v>1</v>
      </c>
      <c r="I30" s="178"/>
      <c r="J30" s="182" t="s">
        <v>164</v>
      </c>
      <c r="K30" s="183" t="s">
        <v>164</v>
      </c>
      <c r="M30" s="143" t="s">
        <v>407</v>
      </c>
      <c r="N30" s="144" t="s">
        <v>405</v>
      </c>
      <c r="O30" s="144" t="s">
        <v>403</v>
      </c>
      <c r="P30" s="144">
        <v>7.11</v>
      </c>
      <c r="Q30" s="144">
        <v>8.11</v>
      </c>
      <c r="R30" s="145">
        <v>9.11</v>
      </c>
      <c r="T30" s="186">
        <v>0.9</v>
      </c>
      <c r="U30" s="187">
        <v>0.9</v>
      </c>
      <c r="V30" s="187">
        <v>0.9</v>
      </c>
      <c r="W30" s="187">
        <v>0.9</v>
      </c>
      <c r="X30" s="187">
        <v>0.9</v>
      </c>
      <c r="Y30" s="187">
        <v>0.9</v>
      </c>
      <c r="Z30" s="187">
        <v>0.9</v>
      </c>
      <c r="AA30" s="187">
        <v>0.9</v>
      </c>
      <c r="AB30" s="187">
        <v>0.9</v>
      </c>
      <c r="AC30" s="187">
        <v>0.9</v>
      </c>
      <c r="AD30" s="187">
        <v>0.9</v>
      </c>
      <c r="AE30" s="187">
        <v>0.9</v>
      </c>
      <c r="AF30" s="187">
        <v>0.9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78"/>
      <c r="B31" s="247" t="str">
        <f t="shared" si="0"/>
        <v>5.13.5 / 7.11</v>
      </c>
      <c r="C31" s="222"/>
      <c r="D31" s="159" t="s">
        <v>656</v>
      </c>
      <c r="E31" s="159">
        <f t="shared" si="1"/>
        <v>0.95</v>
      </c>
      <c r="F31" s="159">
        <f t="shared" si="2"/>
        <v>1</v>
      </c>
      <c r="G31" s="161" t="s">
        <v>344</v>
      </c>
      <c r="H31" s="161">
        <v>1</v>
      </c>
      <c r="I31" s="178"/>
      <c r="J31" s="182" t="s">
        <v>164</v>
      </c>
      <c r="K31" s="183" t="s">
        <v>164</v>
      </c>
      <c r="M31" s="143" t="s">
        <v>407</v>
      </c>
      <c r="N31" s="144" t="s">
        <v>405</v>
      </c>
      <c r="O31" s="144" t="s">
        <v>403</v>
      </c>
      <c r="P31" s="144">
        <v>7.11</v>
      </c>
      <c r="Q31" s="144">
        <v>8.11</v>
      </c>
      <c r="R31" s="145">
        <v>9.11</v>
      </c>
      <c r="T31" s="186">
        <v>0.95</v>
      </c>
      <c r="U31" s="187">
        <v>0.95</v>
      </c>
      <c r="V31" s="187">
        <v>0.95</v>
      </c>
      <c r="W31" s="187">
        <v>0.95</v>
      </c>
      <c r="X31" s="187">
        <v>0.95</v>
      </c>
      <c r="Y31" s="187">
        <v>0.95</v>
      </c>
      <c r="Z31" s="187">
        <v>0.95</v>
      </c>
      <c r="AA31" s="187">
        <v>0.95</v>
      </c>
      <c r="AB31" s="187">
        <v>0.95</v>
      </c>
      <c r="AC31" s="187">
        <v>0.95</v>
      </c>
      <c r="AD31" s="187">
        <v>0.95</v>
      </c>
      <c r="AE31" s="187">
        <v>0.95</v>
      </c>
      <c r="AF31" s="187">
        <v>0.95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78"/>
      <c r="B32" s="247" t="str">
        <f t="shared" si="0"/>
        <v>5.13.5 / 7.11</v>
      </c>
      <c r="C32" s="122" t="s">
        <v>174</v>
      </c>
      <c r="D32" s="122" t="s">
        <v>173</v>
      </c>
      <c r="E32" s="122">
        <f t="shared" si="1"/>
        <v>0.95</v>
      </c>
      <c r="F32" s="122">
        <f t="shared" si="2"/>
        <v>1</v>
      </c>
      <c r="G32" s="124" t="s">
        <v>344</v>
      </c>
      <c r="H32" s="124">
        <v>1</v>
      </c>
      <c r="I32" s="178"/>
      <c r="J32" s="182" t="s">
        <v>164</v>
      </c>
      <c r="K32" s="183" t="s">
        <v>164</v>
      </c>
      <c r="M32" s="143" t="s">
        <v>407</v>
      </c>
      <c r="N32" s="144" t="s">
        <v>405</v>
      </c>
      <c r="O32" s="144" t="s">
        <v>403</v>
      </c>
      <c r="P32" s="144">
        <v>7.11</v>
      </c>
      <c r="Q32" s="144">
        <v>8.11</v>
      </c>
      <c r="R32" s="145">
        <v>9.11</v>
      </c>
      <c r="T32" s="186">
        <v>0.95</v>
      </c>
      <c r="U32" s="187">
        <v>0.95</v>
      </c>
      <c r="V32" s="187">
        <v>0.95</v>
      </c>
      <c r="W32" s="187">
        <v>0.95</v>
      </c>
      <c r="X32" s="187">
        <v>0.95</v>
      </c>
      <c r="Y32" s="187">
        <v>0.95</v>
      </c>
      <c r="Z32" s="187">
        <v>0.95</v>
      </c>
      <c r="AA32" s="187">
        <v>0.95</v>
      </c>
      <c r="AB32" s="187">
        <v>0.95</v>
      </c>
      <c r="AC32" s="187">
        <v>0.95</v>
      </c>
      <c r="AD32" s="187">
        <v>0.95</v>
      </c>
      <c r="AE32" s="187">
        <v>0.95</v>
      </c>
      <c r="AF32" s="187">
        <v>0.95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78"/>
      <c r="B33" s="247" t="str">
        <f t="shared" si="0"/>
        <v>5.13.5 / 7.11</v>
      </c>
      <c r="C33" s="221" t="s">
        <v>175</v>
      </c>
      <c r="D33" s="122" t="s">
        <v>661</v>
      </c>
      <c r="E33" s="122">
        <f t="shared" si="1"/>
        <v>0.9</v>
      </c>
      <c r="F33" s="122">
        <f t="shared" si="2"/>
        <v>1</v>
      </c>
      <c r="G33" s="124" t="s">
        <v>344</v>
      </c>
      <c r="H33" s="124">
        <v>1</v>
      </c>
      <c r="I33" s="178"/>
      <c r="J33" s="182" t="s">
        <v>164</v>
      </c>
      <c r="K33" s="183" t="s">
        <v>164</v>
      </c>
      <c r="M33" s="143" t="s">
        <v>407</v>
      </c>
      <c r="N33" s="144" t="s">
        <v>405</v>
      </c>
      <c r="O33" s="144" t="s">
        <v>403</v>
      </c>
      <c r="P33" s="144">
        <v>7.11</v>
      </c>
      <c r="Q33" s="144">
        <v>8.11</v>
      </c>
      <c r="R33" s="145">
        <v>9.11</v>
      </c>
      <c r="T33" s="186">
        <v>0.9</v>
      </c>
      <c r="U33" s="187">
        <v>0.9</v>
      </c>
      <c r="V33" s="187">
        <v>0.9</v>
      </c>
      <c r="W33" s="187">
        <v>0.9</v>
      </c>
      <c r="X33" s="187">
        <v>0.9</v>
      </c>
      <c r="Y33" s="187">
        <v>0.9</v>
      </c>
      <c r="Z33" s="187">
        <v>0.9</v>
      </c>
      <c r="AA33" s="187">
        <v>0.9</v>
      </c>
      <c r="AB33" s="187">
        <v>0.9</v>
      </c>
      <c r="AC33" s="187">
        <v>0.9</v>
      </c>
      <c r="AD33" s="187">
        <v>0.9</v>
      </c>
      <c r="AE33" s="187">
        <v>0.9</v>
      </c>
      <c r="AF33" s="187">
        <v>0.9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78"/>
      <c r="B34" s="247" t="str">
        <f t="shared" si="0"/>
        <v>5.13.5 / 7.11</v>
      </c>
      <c r="C34" s="222"/>
      <c r="D34" s="159" t="s">
        <v>656</v>
      </c>
      <c r="E34" s="159">
        <f t="shared" si="1"/>
        <v>0.95</v>
      </c>
      <c r="F34" s="159">
        <f t="shared" si="2"/>
        <v>1</v>
      </c>
      <c r="G34" s="161" t="s">
        <v>344</v>
      </c>
      <c r="H34" s="161">
        <v>1</v>
      </c>
      <c r="I34" s="178"/>
      <c r="J34" s="182" t="s">
        <v>164</v>
      </c>
      <c r="K34" s="183" t="s">
        <v>164</v>
      </c>
      <c r="M34" s="143" t="s">
        <v>407</v>
      </c>
      <c r="N34" s="144" t="s">
        <v>405</v>
      </c>
      <c r="O34" s="144" t="s">
        <v>403</v>
      </c>
      <c r="P34" s="144">
        <v>7.11</v>
      </c>
      <c r="Q34" s="144">
        <v>8.11</v>
      </c>
      <c r="R34" s="145">
        <v>9.11</v>
      </c>
      <c r="T34" s="186">
        <v>0.95</v>
      </c>
      <c r="U34" s="187">
        <v>0.95</v>
      </c>
      <c r="V34" s="187">
        <v>0.95</v>
      </c>
      <c r="W34" s="187">
        <v>0.95</v>
      </c>
      <c r="X34" s="187">
        <v>0.95</v>
      </c>
      <c r="Y34" s="187">
        <v>0.95</v>
      </c>
      <c r="Z34" s="187">
        <v>0.95</v>
      </c>
      <c r="AA34" s="187">
        <v>0.95</v>
      </c>
      <c r="AB34" s="187">
        <v>0.95</v>
      </c>
      <c r="AC34" s="187">
        <v>0.95</v>
      </c>
      <c r="AD34" s="187">
        <v>0.95</v>
      </c>
      <c r="AE34" s="187">
        <v>0.95</v>
      </c>
      <c r="AF34" s="187">
        <v>0.95</v>
      </c>
      <c r="AG34" s="187">
        <v>1</v>
      </c>
      <c r="AH34" s="187">
        <v>1</v>
      </c>
      <c r="AI34" s="187">
        <v>1</v>
      </c>
      <c r="AJ34" s="187">
        <v>1</v>
      </c>
      <c r="AK34" s="187">
        <v>1</v>
      </c>
      <c r="AL34" s="187">
        <v>1</v>
      </c>
      <c r="AM34" s="187">
        <v>1</v>
      </c>
      <c r="AN34" s="187">
        <v>1</v>
      </c>
      <c r="AO34" s="187">
        <v>1</v>
      </c>
      <c r="AP34" s="187">
        <v>1</v>
      </c>
      <c r="AQ34" s="187">
        <v>1</v>
      </c>
      <c r="AR34" s="187">
        <v>1</v>
      </c>
      <c r="AS34" s="188">
        <v>1</v>
      </c>
    </row>
    <row r="35" spans="1:45" x14ac:dyDescent="0.2">
      <c r="A35" s="278"/>
      <c r="B35" s="247" t="str">
        <f t="shared" si="0"/>
        <v>5.13.5 / 7.11</v>
      </c>
      <c r="C35" s="122" t="s">
        <v>176</v>
      </c>
      <c r="D35" s="122" t="s">
        <v>173</v>
      </c>
      <c r="E35" s="122">
        <f t="shared" si="1"/>
        <v>0.95</v>
      </c>
      <c r="F35" s="122">
        <f t="shared" si="2"/>
        <v>1</v>
      </c>
      <c r="G35" s="124" t="s">
        <v>344</v>
      </c>
      <c r="H35" s="124">
        <v>1</v>
      </c>
      <c r="I35" s="178"/>
      <c r="J35" s="182" t="s">
        <v>164</v>
      </c>
      <c r="K35" s="183" t="s">
        <v>164</v>
      </c>
      <c r="M35" s="143" t="s">
        <v>407</v>
      </c>
      <c r="N35" s="144" t="s">
        <v>405</v>
      </c>
      <c r="O35" s="144" t="s">
        <v>403</v>
      </c>
      <c r="P35" s="144">
        <v>7.11</v>
      </c>
      <c r="Q35" s="144">
        <v>8.11</v>
      </c>
      <c r="R35" s="145">
        <v>9.11</v>
      </c>
      <c r="T35" s="186">
        <v>0.95</v>
      </c>
      <c r="U35" s="187">
        <v>0.95</v>
      </c>
      <c r="V35" s="187">
        <v>0.95</v>
      </c>
      <c r="W35" s="187">
        <v>0.95</v>
      </c>
      <c r="X35" s="187">
        <v>0.95</v>
      </c>
      <c r="Y35" s="187">
        <v>0.95</v>
      </c>
      <c r="Z35" s="187">
        <v>0.95</v>
      </c>
      <c r="AA35" s="187">
        <v>0.95</v>
      </c>
      <c r="AB35" s="187">
        <v>0.95</v>
      </c>
      <c r="AC35" s="187">
        <v>0.95</v>
      </c>
      <c r="AD35" s="187">
        <v>0.95</v>
      </c>
      <c r="AE35" s="187">
        <v>0.95</v>
      </c>
      <c r="AF35" s="187">
        <v>0.95</v>
      </c>
      <c r="AG35" s="187">
        <v>1</v>
      </c>
      <c r="AH35" s="187">
        <v>1</v>
      </c>
      <c r="AI35" s="187">
        <v>1</v>
      </c>
      <c r="AJ35" s="187">
        <v>1</v>
      </c>
      <c r="AK35" s="187">
        <v>1</v>
      </c>
      <c r="AL35" s="187">
        <v>1</v>
      </c>
      <c r="AM35" s="187">
        <v>1</v>
      </c>
      <c r="AN35" s="187">
        <v>1</v>
      </c>
      <c r="AO35" s="187">
        <v>1</v>
      </c>
      <c r="AP35" s="187">
        <v>1</v>
      </c>
      <c r="AQ35" s="187">
        <v>1</v>
      </c>
      <c r="AR35" s="187">
        <v>1</v>
      </c>
      <c r="AS35" s="188">
        <v>1</v>
      </c>
    </row>
    <row r="36" spans="1:45" x14ac:dyDescent="0.2">
      <c r="A36" s="278" t="s">
        <v>63</v>
      </c>
      <c r="B36" s="247" t="str">
        <f t="shared" si="0"/>
        <v>5.11.4 / 7.12.3</v>
      </c>
      <c r="C36" s="122" t="s">
        <v>37</v>
      </c>
      <c r="D36" s="122" t="s">
        <v>40</v>
      </c>
      <c r="E36" s="122">
        <f t="shared" si="1"/>
        <v>3</v>
      </c>
      <c r="F36" s="122">
        <f t="shared" si="2"/>
        <v>5</v>
      </c>
      <c r="G36" s="124" t="s">
        <v>21</v>
      </c>
      <c r="H36" s="124">
        <v>1</v>
      </c>
      <c r="I36" s="168"/>
      <c r="J36" s="174" t="s">
        <v>164</v>
      </c>
      <c r="K36" s="175" t="s">
        <v>164</v>
      </c>
      <c r="M36" s="143" t="s">
        <v>350</v>
      </c>
      <c r="N36" s="144" t="s">
        <v>386</v>
      </c>
      <c r="O36" s="144" t="s">
        <v>399</v>
      </c>
      <c r="P36" s="144" t="s">
        <v>348</v>
      </c>
      <c r="Q36" s="144" t="s">
        <v>362</v>
      </c>
      <c r="R36" s="145" t="s">
        <v>373</v>
      </c>
      <c r="T36" s="72">
        <v>3</v>
      </c>
      <c r="U36" s="129">
        <v>3</v>
      </c>
      <c r="V36" s="129">
        <v>3</v>
      </c>
      <c r="W36" s="129">
        <v>3</v>
      </c>
      <c r="X36" s="129">
        <v>3</v>
      </c>
      <c r="Y36" s="129">
        <v>3</v>
      </c>
      <c r="Z36" s="129">
        <v>3</v>
      </c>
      <c r="AA36" s="129">
        <v>3</v>
      </c>
      <c r="AB36" s="129">
        <v>3</v>
      </c>
      <c r="AC36" s="129">
        <v>3</v>
      </c>
      <c r="AD36" s="129">
        <v>3</v>
      </c>
      <c r="AE36" s="129">
        <v>3</v>
      </c>
      <c r="AF36" s="129">
        <v>3</v>
      </c>
      <c r="AG36" s="129">
        <v>5</v>
      </c>
      <c r="AH36" s="129">
        <v>5</v>
      </c>
      <c r="AI36" s="129">
        <v>5</v>
      </c>
      <c r="AJ36" s="129">
        <v>5</v>
      </c>
      <c r="AK36" s="129">
        <v>5</v>
      </c>
      <c r="AL36" s="129">
        <v>5</v>
      </c>
      <c r="AM36" s="129">
        <v>5</v>
      </c>
      <c r="AN36" s="129">
        <v>5</v>
      </c>
      <c r="AO36" s="129">
        <v>5</v>
      </c>
      <c r="AP36" s="129">
        <v>5</v>
      </c>
      <c r="AQ36" s="129">
        <v>5</v>
      </c>
      <c r="AR36" s="129">
        <v>5</v>
      </c>
      <c r="AS36" s="33">
        <v>5</v>
      </c>
    </row>
    <row r="37" spans="1:45" x14ac:dyDescent="0.2">
      <c r="A37" s="278"/>
      <c r="B37" s="247" t="str">
        <f t="shared" si="0"/>
        <v>5.11.4 / 7.12.3</v>
      </c>
      <c r="C37" s="122" t="s">
        <v>38</v>
      </c>
      <c r="D37" s="122" t="s">
        <v>40</v>
      </c>
      <c r="E37" s="122">
        <f t="shared" si="1"/>
        <v>2.2999999999999998</v>
      </c>
      <c r="F37" s="122">
        <f t="shared" si="2"/>
        <v>5</v>
      </c>
      <c r="G37" s="124" t="s">
        <v>143</v>
      </c>
      <c r="H37" s="124">
        <v>1</v>
      </c>
      <c r="I37" s="168"/>
      <c r="J37" s="174" t="s">
        <v>164</v>
      </c>
      <c r="K37" s="175" t="s">
        <v>164</v>
      </c>
      <c r="M37" s="143" t="s">
        <v>349</v>
      </c>
      <c r="N37" s="144" t="s">
        <v>386</v>
      </c>
      <c r="O37" s="144" t="s">
        <v>399</v>
      </c>
      <c r="P37" s="144" t="s">
        <v>347</v>
      </c>
      <c r="Q37" s="144" t="s">
        <v>362</v>
      </c>
      <c r="R37" s="145" t="s">
        <v>373</v>
      </c>
      <c r="T37" s="72">
        <v>2.2999999999999998</v>
      </c>
      <c r="U37" s="129">
        <v>2.2999999999999998</v>
      </c>
      <c r="V37" s="129">
        <v>2.2999999999999998</v>
      </c>
      <c r="W37" s="129">
        <v>2.2999999999999998</v>
      </c>
      <c r="X37" s="129">
        <v>2.2999999999999998</v>
      </c>
      <c r="Y37" s="129">
        <v>2.2999999999999998</v>
      </c>
      <c r="Z37" s="129">
        <v>2.2999999999999998</v>
      </c>
      <c r="AA37" s="129">
        <v>2.2999999999999998</v>
      </c>
      <c r="AB37" s="129">
        <v>2.2999999999999998</v>
      </c>
      <c r="AC37" s="129">
        <v>2.2999999999999998</v>
      </c>
      <c r="AD37" s="129">
        <v>2.2999999999999998</v>
      </c>
      <c r="AE37" s="129">
        <v>2.2999999999999998</v>
      </c>
      <c r="AF37" s="129">
        <v>2.2999999999999998</v>
      </c>
      <c r="AG37" s="129">
        <v>5</v>
      </c>
      <c r="AH37" s="129">
        <v>5</v>
      </c>
      <c r="AI37" s="129">
        <v>5</v>
      </c>
      <c r="AJ37" s="129">
        <v>5</v>
      </c>
      <c r="AK37" s="129">
        <v>5</v>
      </c>
      <c r="AL37" s="129">
        <v>5</v>
      </c>
      <c r="AM37" s="129">
        <v>5</v>
      </c>
      <c r="AN37" s="129">
        <v>5</v>
      </c>
      <c r="AO37" s="129">
        <v>5</v>
      </c>
      <c r="AP37" s="129">
        <v>5</v>
      </c>
      <c r="AQ37" s="129">
        <v>5</v>
      </c>
      <c r="AR37" s="129">
        <v>5</v>
      </c>
      <c r="AS37" s="33">
        <v>5</v>
      </c>
    </row>
    <row r="38" spans="1:45" x14ac:dyDescent="0.2">
      <c r="A38" s="278"/>
      <c r="B38" s="247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 ""," / "&amp;HLOOKUP(SUBSTITUTE(SUBSTITUTE(SUBSTITUTE(SUBSTITUTE(SUBSTITUTE(VCBW,"AMR_",""),"EVS_",""),"SO3_",""),"SO68_",""),"SO73_",""),$P$3:$R$59,ROW(B38)-ROW($P$3)+1,FALSE))</f>
        <v>5.11.4 / 7.12.3</v>
      </c>
      <c r="C38" s="122" t="s">
        <v>39</v>
      </c>
      <c r="D38" s="122" t="s">
        <v>40</v>
      </c>
      <c r="E38" s="122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122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124" t="s">
        <v>143</v>
      </c>
      <c r="H38" s="124">
        <v>1</v>
      </c>
      <c r="I38" s="168"/>
      <c r="J38" s="174" t="s">
        <v>164</v>
      </c>
      <c r="K38" s="175" t="s">
        <v>164</v>
      </c>
      <c r="M38" s="143" t="s">
        <v>349</v>
      </c>
      <c r="N38" s="144" t="s">
        <v>386</v>
      </c>
      <c r="O38" s="144" t="s">
        <v>399</v>
      </c>
      <c r="P38" s="144" t="s">
        <v>347</v>
      </c>
      <c r="Q38" s="144" t="s">
        <v>362</v>
      </c>
      <c r="R38" s="145" t="s">
        <v>373</v>
      </c>
      <c r="T38" s="72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5</v>
      </c>
      <c r="AH38" s="129">
        <v>5</v>
      </c>
      <c r="AI38" s="129">
        <v>5</v>
      </c>
      <c r="AJ38" s="129">
        <v>5</v>
      </c>
      <c r="AK38" s="129">
        <v>5</v>
      </c>
      <c r="AL38" s="129">
        <v>5</v>
      </c>
      <c r="AM38" s="129">
        <v>5</v>
      </c>
      <c r="AN38" s="129">
        <v>5</v>
      </c>
      <c r="AO38" s="129">
        <v>5</v>
      </c>
      <c r="AP38" s="129">
        <v>5</v>
      </c>
      <c r="AQ38" s="129">
        <v>5</v>
      </c>
      <c r="AR38" s="129">
        <v>5</v>
      </c>
      <c r="AS38" s="33">
        <v>5</v>
      </c>
    </row>
    <row r="39" spans="1:45" x14ac:dyDescent="0.2">
      <c r="A39" s="278"/>
      <c r="B39" s="247" t="str">
        <f t="shared" si="3"/>
        <v>5.11.4 / 7.12.3</v>
      </c>
      <c r="C39" s="231" t="s">
        <v>37</v>
      </c>
      <c r="D39" s="122" t="s">
        <v>29</v>
      </c>
      <c r="E39" s="122">
        <f t="shared" si="4"/>
        <v>0</v>
      </c>
      <c r="F39" s="122">
        <f t="shared" si="5"/>
        <v>5</v>
      </c>
      <c r="G39" s="124" t="s">
        <v>143</v>
      </c>
      <c r="H39" s="124">
        <v>1</v>
      </c>
      <c r="I39" s="168"/>
      <c r="J39" s="174" t="s">
        <v>164</v>
      </c>
      <c r="K39" s="175" t="s">
        <v>164</v>
      </c>
      <c r="M39" s="143" t="s">
        <v>349</v>
      </c>
      <c r="N39" s="144" t="s">
        <v>386</v>
      </c>
      <c r="O39" s="144" t="s">
        <v>399</v>
      </c>
      <c r="P39" s="144" t="s">
        <v>347</v>
      </c>
      <c r="Q39" s="144" t="s">
        <v>362</v>
      </c>
      <c r="R39" s="145" t="s">
        <v>373</v>
      </c>
      <c r="T39" s="72">
        <v>0</v>
      </c>
      <c r="U39" s="129">
        <v>0</v>
      </c>
      <c r="V39" s="129">
        <v>0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5</v>
      </c>
      <c r="AH39" s="129">
        <v>5</v>
      </c>
      <c r="AI39" s="129">
        <v>5</v>
      </c>
      <c r="AJ39" s="129">
        <v>5</v>
      </c>
      <c r="AK39" s="129">
        <v>5</v>
      </c>
      <c r="AL39" s="129">
        <v>5</v>
      </c>
      <c r="AM39" s="129">
        <v>5</v>
      </c>
      <c r="AN39" s="129">
        <v>5</v>
      </c>
      <c r="AO39" s="129">
        <v>5</v>
      </c>
      <c r="AP39" s="129">
        <v>5</v>
      </c>
      <c r="AQ39" s="129">
        <v>5</v>
      </c>
      <c r="AR39" s="129">
        <v>5</v>
      </c>
      <c r="AS39" s="33">
        <v>5</v>
      </c>
    </row>
    <row r="40" spans="1:45" x14ac:dyDescent="0.2">
      <c r="A40" s="278"/>
      <c r="B40" s="247" t="str">
        <f t="shared" si="3"/>
        <v>5.11.4 / 7.12.3</v>
      </c>
      <c r="C40" s="231"/>
      <c r="D40" s="122" t="s">
        <v>30</v>
      </c>
      <c r="E40" s="122">
        <f t="shared" si="4"/>
        <v>0</v>
      </c>
      <c r="F40" s="122">
        <f t="shared" si="5"/>
        <v>5</v>
      </c>
      <c r="G40" s="124" t="s">
        <v>143</v>
      </c>
      <c r="H40" s="124">
        <v>1</v>
      </c>
      <c r="I40" s="168"/>
      <c r="J40" s="174" t="s">
        <v>164</v>
      </c>
      <c r="K40" s="175" t="s">
        <v>164</v>
      </c>
      <c r="M40" s="143" t="s">
        <v>349</v>
      </c>
      <c r="N40" s="144" t="s">
        <v>386</v>
      </c>
      <c r="O40" s="144" t="s">
        <v>399</v>
      </c>
      <c r="P40" s="144" t="s">
        <v>347</v>
      </c>
      <c r="Q40" s="144" t="s">
        <v>362</v>
      </c>
      <c r="R40" s="145" t="s">
        <v>373</v>
      </c>
      <c r="T40" s="72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5</v>
      </c>
      <c r="AH40" s="129">
        <v>5</v>
      </c>
      <c r="AI40" s="129">
        <v>5</v>
      </c>
      <c r="AJ40" s="129">
        <v>5</v>
      </c>
      <c r="AK40" s="129">
        <v>5</v>
      </c>
      <c r="AL40" s="129">
        <v>5</v>
      </c>
      <c r="AM40" s="129">
        <v>5</v>
      </c>
      <c r="AN40" s="129">
        <v>5</v>
      </c>
      <c r="AO40" s="129">
        <v>5</v>
      </c>
      <c r="AP40" s="129">
        <v>5</v>
      </c>
      <c r="AQ40" s="129">
        <v>5</v>
      </c>
      <c r="AR40" s="129">
        <v>5</v>
      </c>
      <c r="AS40" s="33">
        <v>5</v>
      </c>
    </row>
    <row r="41" spans="1:45" x14ac:dyDescent="0.2">
      <c r="A41" s="278"/>
      <c r="B41" s="247" t="str">
        <f t="shared" si="3"/>
        <v>5.11.4 / 7.12.3</v>
      </c>
      <c r="C41" s="231"/>
      <c r="D41" s="122" t="s">
        <v>31</v>
      </c>
      <c r="E41" s="122">
        <f t="shared" si="4"/>
        <v>0</v>
      </c>
      <c r="F41" s="122">
        <f t="shared" si="5"/>
        <v>5</v>
      </c>
      <c r="G41" s="124" t="s">
        <v>143</v>
      </c>
      <c r="H41" s="124">
        <v>1</v>
      </c>
      <c r="I41" s="168"/>
      <c r="J41" s="174" t="s">
        <v>164</v>
      </c>
      <c r="K41" s="175" t="s">
        <v>164</v>
      </c>
      <c r="M41" s="143" t="s">
        <v>349</v>
      </c>
      <c r="N41" s="144" t="s">
        <v>386</v>
      </c>
      <c r="O41" s="144" t="s">
        <v>399</v>
      </c>
      <c r="P41" s="144" t="s">
        <v>347</v>
      </c>
      <c r="Q41" s="144" t="s">
        <v>362</v>
      </c>
      <c r="R41" s="145" t="s">
        <v>373</v>
      </c>
      <c r="T41" s="72">
        <v>0</v>
      </c>
      <c r="U41" s="129">
        <v>0</v>
      </c>
      <c r="V41" s="129">
        <v>0</v>
      </c>
      <c r="W41" s="129">
        <v>0</v>
      </c>
      <c r="X41" s="129">
        <v>0</v>
      </c>
      <c r="Y41" s="129">
        <v>0</v>
      </c>
      <c r="Z41" s="129">
        <v>0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5</v>
      </c>
      <c r="AH41" s="129">
        <v>5</v>
      </c>
      <c r="AI41" s="129">
        <v>5</v>
      </c>
      <c r="AJ41" s="129">
        <v>5</v>
      </c>
      <c r="AK41" s="129">
        <v>5</v>
      </c>
      <c r="AL41" s="129">
        <v>5</v>
      </c>
      <c r="AM41" s="129">
        <v>5</v>
      </c>
      <c r="AN41" s="129">
        <v>5</v>
      </c>
      <c r="AO41" s="129">
        <v>5</v>
      </c>
      <c r="AP41" s="129">
        <v>5</v>
      </c>
      <c r="AQ41" s="129">
        <v>5</v>
      </c>
      <c r="AR41" s="129">
        <v>5</v>
      </c>
      <c r="AS41" s="33">
        <v>5</v>
      </c>
    </row>
    <row r="42" spans="1:45" x14ac:dyDescent="0.2">
      <c r="A42" s="278"/>
      <c r="B42" s="247" t="str">
        <f t="shared" si="3"/>
        <v>5.11.4 / 7.12.3</v>
      </c>
      <c r="C42" s="231"/>
      <c r="D42" s="122" t="s">
        <v>36</v>
      </c>
      <c r="E42" s="122">
        <f t="shared" si="4"/>
        <v>0</v>
      </c>
      <c r="F42" s="122">
        <f t="shared" si="5"/>
        <v>5</v>
      </c>
      <c r="G42" s="124" t="s">
        <v>143</v>
      </c>
      <c r="H42" s="124">
        <v>1</v>
      </c>
      <c r="I42" s="168"/>
      <c r="J42" s="174" t="s">
        <v>164</v>
      </c>
      <c r="K42" s="175" t="s">
        <v>164</v>
      </c>
      <c r="M42" s="143" t="s">
        <v>349</v>
      </c>
      <c r="N42" s="144" t="s">
        <v>386</v>
      </c>
      <c r="O42" s="144" t="s">
        <v>399</v>
      </c>
      <c r="P42" s="144" t="s">
        <v>347</v>
      </c>
      <c r="Q42" s="144" t="s">
        <v>362</v>
      </c>
      <c r="R42" s="145" t="s">
        <v>373</v>
      </c>
      <c r="T42" s="72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5</v>
      </c>
      <c r="AH42" s="129">
        <v>5</v>
      </c>
      <c r="AI42" s="129">
        <v>5</v>
      </c>
      <c r="AJ42" s="129">
        <v>5</v>
      </c>
      <c r="AK42" s="129">
        <v>5</v>
      </c>
      <c r="AL42" s="129">
        <v>5</v>
      </c>
      <c r="AM42" s="129">
        <v>5</v>
      </c>
      <c r="AN42" s="129">
        <v>5</v>
      </c>
      <c r="AO42" s="129">
        <v>5</v>
      </c>
      <c r="AP42" s="129">
        <v>5</v>
      </c>
      <c r="AQ42" s="129">
        <v>5</v>
      </c>
      <c r="AR42" s="129">
        <v>5</v>
      </c>
      <c r="AS42" s="33">
        <v>5</v>
      </c>
    </row>
    <row r="43" spans="1:45" x14ac:dyDescent="0.2">
      <c r="A43" s="278"/>
      <c r="B43" s="247" t="str">
        <f t="shared" si="3"/>
        <v>5.11.4 / 7.12.3</v>
      </c>
      <c r="C43" s="231"/>
      <c r="D43" s="122" t="s">
        <v>32</v>
      </c>
      <c r="E43" s="122">
        <f t="shared" si="4"/>
        <v>0</v>
      </c>
      <c r="F43" s="122">
        <f t="shared" si="5"/>
        <v>5</v>
      </c>
      <c r="G43" s="124" t="s">
        <v>143</v>
      </c>
      <c r="H43" s="124">
        <v>1</v>
      </c>
      <c r="I43" s="168"/>
      <c r="J43" s="174" t="s">
        <v>164</v>
      </c>
      <c r="K43" s="175" t="s">
        <v>164</v>
      </c>
      <c r="M43" s="143" t="s">
        <v>349</v>
      </c>
      <c r="N43" s="144" t="s">
        <v>386</v>
      </c>
      <c r="O43" s="144" t="s">
        <v>399</v>
      </c>
      <c r="P43" s="144" t="s">
        <v>347</v>
      </c>
      <c r="Q43" s="144" t="s">
        <v>362</v>
      </c>
      <c r="R43" s="145" t="s">
        <v>373</v>
      </c>
      <c r="T43" s="72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5</v>
      </c>
      <c r="AH43" s="129">
        <v>5</v>
      </c>
      <c r="AI43" s="129">
        <v>5</v>
      </c>
      <c r="AJ43" s="129">
        <v>5</v>
      </c>
      <c r="AK43" s="129">
        <v>5</v>
      </c>
      <c r="AL43" s="129">
        <v>5</v>
      </c>
      <c r="AM43" s="129">
        <v>5</v>
      </c>
      <c r="AN43" s="129">
        <v>5</v>
      </c>
      <c r="AO43" s="129">
        <v>5</v>
      </c>
      <c r="AP43" s="129">
        <v>5</v>
      </c>
      <c r="AQ43" s="129">
        <v>5</v>
      </c>
      <c r="AR43" s="129">
        <v>5</v>
      </c>
      <c r="AS43" s="33">
        <v>5</v>
      </c>
    </row>
    <row r="44" spans="1:45" x14ac:dyDescent="0.2">
      <c r="A44" s="278"/>
      <c r="B44" s="247" t="str">
        <f t="shared" si="3"/>
        <v>5.11.4 / 7.12.3</v>
      </c>
      <c r="C44" s="231"/>
      <c r="D44" s="122" t="s">
        <v>33</v>
      </c>
      <c r="E44" s="122">
        <f t="shared" si="4"/>
        <v>0</v>
      </c>
      <c r="F44" s="122">
        <f t="shared" si="5"/>
        <v>5</v>
      </c>
      <c r="G44" s="124" t="s">
        <v>143</v>
      </c>
      <c r="H44" s="124">
        <v>1</v>
      </c>
      <c r="I44" s="168"/>
      <c r="J44" s="174" t="s">
        <v>164</v>
      </c>
      <c r="K44" s="175" t="s">
        <v>164</v>
      </c>
      <c r="M44" s="143" t="s">
        <v>349</v>
      </c>
      <c r="N44" s="144" t="s">
        <v>386</v>
      </c>
      <c r="O44" s="144" t="s">
        <v>399</v>
      </c>
      <c r="P44" s="144" t="s">
        <v>347</v>
      </c>
      <c r="Q44" s="144" t="s">
        <v>362</v>
      </c>
      <c r="R44" s="145" t="s">
        <v>373</v>
      </c>
      <c r="T44" s="72">
        <v>0</v>
      </c>
      <c r="U44" s="129">
        <v>0</v>
      </c>
      <c r="V44" s="129">
        <v>0</v>
      </c>
      <c r="W44" s="129">
        <v>0</v>
      </c>
      <c r="X44" s="129">
        <v>0</v>
      </c>
      <c r="Y44" s="129">
        <v>0</v>
      </c>
      <c r="Z44" s="129">
        <v>0</v>
      </c>
      <c r="AA44" s="129">
        <v>0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5</v>
      </c>
      <c r="AH44" s="129">
        <v>5</v>
      </c>
      <c r="AI44" s="129">
        <v>5</v>
      </c>
      <c r="AJ44" s="129">
        <v>5</v>
      </c>
      <c r="AK44" s="129">
        <v>5</v>
      </c>
      <c r="AL44" s="129">
        <v>5</v>
      </c>
      <c r="AM44" s="129">
        <v>5</v>
      </c>
      <c r="AN44" s="129">
        <v>5</v>
      </c>
      <c r="AO44" s="129">
        <v>5</v>
      </c>
      <c r="AP44" s="129">
        <v>5</v>
      </c>
      <c r="AQ44" s="129">
        <v>5</v>
      </c>
      <c r="AR44" s="129">
        <v>5</v>
      </c>
      <c r="AS44" s="33">
        <v>5</v>
      </c>
    </row>
    <row r="45" spans="1:45" x14ac:dyDescent="0.2">
      <c r="A45" s="278"/>
      <c r="B45" s="247" t="str">
        <f t="shared" si="3"/>
        <v>5.11.4 / 7.12.3</v>
      </c>
      <c r="C45" s="231"/>
      <c r="D45" s="122" t="s">
        <v>34</v>
      </c>
      <c r="E45" s="122">
        <f t="shared" si="4"/>
        <v>0</v>
      </c>
      <c r="F45" s="122">
        <f t="shared" si="5"/>
        <v>5</v>
      </c>
      <c r="G45" s="124" t="s">
        <v>143</v>
      </c>
      <c r="H45" s="124">
        <v>1</v>
      </c>
      <c r="I45" s="168"/>
      <c r="J45" s="174" t="s">
        <v>164</v>
      </c>
      <c r="K45" s="175" t="s">
        <v>164</v>
      </c>
      <c r="M45" s="143" t="s">
        <v>349</v>
      </c>
      <c r="N45" s="144" t="s">
        <v>386</v>
      </c>
      <c r="O45" s="144" t="s">
        <v>399</v>
      </c>
      <c r="P45" s="144" t="s">
        <v>347</v>
      </c>
      <c r="Q45" s="144" t="s">
        <v>362</v>
      </c>
      <c r="R45" s="145" t="s">
        <v>373</v>
      </c>
      <c r="T45" s="72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0</v>
      </c>
      <c r="AC45" s="129">
        <v>0</v>
      </c>
      <c r="AD45" s="129">
        <v>0</v>
      </c>
      <c r="AE45" s="129">
        <v>0</v>
      </c>
      <c r="AF45" s="129">
        <v>0</v>
      </c>
      <c r="AG45" s="129">
        <v>5</v>
      </c>
      <c r="AH45" s="129">
        <v>5</v>
      </c>
      <c r="AI45" s="129">
        <v>5</v>
      </c>
      <c r="AJ45" s="129">
        <v>5</v>
      </c>
      <c r="AK45" s="129">
        <v>5</v>
      </c>
      <c r="AL45" s="129">
        <v>5</v>
      </c>
      <c r="AM45" s="129">
        <v>5</v>
      </c>
      <c r="AN45" s="129">
        <v>5</v>
      </c>
      <c r="AO45" s="129">
        <v>5</v>
      </c>
      <c r="AP45" s="129">
        <v>5</v>
      </c>
      <c r="AQ45" s="129">
        <v>5</v>
      </c>
      <c r="AR45" s="129">
        <v>5</v>
      </c>
      <c r="AS45" s="33">
        <v>5</v>
      </c>
    </row>
    <row r="46" spans="1:45" x14ac:dyDescent="0.2">
      <c r="A46" s="278"/>
      <c r="B46" s="247" t="str">
        <f t="shared" si="3"/>
        <v>5.11.4 / 7.12.3</v>
      </c>
      <c r="C46" s="231"/>
      <c r="D46" s="122" t="s">
        <v>35</v>
      </c>
      <c r="E46" s="122">
        <f t="shared" si="4"/>
        <v>0</v>
      </c>
      <c r="F46" s="122">
        <f t="shared" si="5"/>
        <v>5</v>
      </c>
      <c r="G46" s="124" t="s">
        <v>143</v>
      </c>
      <c r="H46" s="124">
        <v>1</v>
      </c>
      <c r="I46" s="168"/>
      <c r="J46" s="174" t="s">
        <v>164</v>
      </c>
      <c r="K46" s="175" t="s">
        <v>164</v>
      </c>
      <c r="M46" s="143" t="s">
        <v>349</v>
      </c>
      <c r="N46" s="144" t="s">
        <v>386</v>
      </c>
      <c r="O46" s="144" t="s">
        <v>399</v>
      </c>
      <c r="P46" s="144" t="s">
        <v>347</v>
      </c>
      <c r="Q46" s="144" t="s">
        <v>362</v>
      </c>
      <c r="R46" s="145" t="s">
        <v>373</v>
      </c>
      <c r="T46" s="72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0</v>
      </c>
      <c r="AB46" s="129">
        <v>0</v>
      </c>
      <c r="AC46" s="129">
        <v>0</v>
      </c>
      <c r="AD46" s="129">
        <v>0</v>
      </c>
      <c r="AE46" s="129">
        <v>0</v>
      </c>
      <c r="AF46" s="129">
        <v>0</v>
      </c>
      <c r="AG46" s="129">
        <v>5</v>
      </c>
      <c r="AH46" s="129">
        <v>5</v>
      </c>
      <c r="AI46" s="129">
        <v>5</v>
      </c>
      <c r="AJ46" s="129">
        <v>5</v>
      </c>
      <c r="AK46" s="129">
        <v>5</v>
      </c>
      <c r="AL46" s="129">
        <v>5</v>
      </c>
      <c r="AM46" s="129">
        <v>5</v>
      </c>
      <c r="AN46" s="129">
        <v>5</v>
      </c>
      <c r="AO46" s="129">
        <v>5</v>
      </c>
      <c r="AP46" s="129">
        <v>5</v>
      </c>
      <c r="AQ46" s="129">
        <v>5</v>
      </c>
      <c r="AR46" s="129">
        <v>5</v>
      </c>
      <c r="AS46" s="33">
        <v>5</v>
      </c>
    </row>
    <row r="47" spans="1:45" x14ac:dyDescent="0.2">
      <c r="A47" s="278"/>
      <c r="B47" s="247" t="str">
        <f t="shared" si="3"/>
        <v>5.11.4 / 7.12.3</v>
      </c>
      <c r="C47" s="231" t="s">
        <v>38</v>
      </c>
      <c r="D47" s="122" t="s">
        <v>29</v>
      </c>
      <c r="E47" s="122">
        <f t="shared" si="4"/>
        <v>0</v>
      </c>
      <c r="F47" s="122">
        <f t="shared" si="5"/>
        <v>5</v>
      </c>
      <c r="G47" s="124" t="s">
        <v>143</v>
      </c>
      <c r="H47" s="124">
        <v>1</v>
      </c>
      <c r="I47" s="168"/>
      <c r="J47" s="174" t="s">
        <v>164</v>
      </c>
      <c r="K47" s="175" t="s">
        <v>164</v>
      </c>
      <c r="M47" s="143" t="s">
        <v>349</v>
      </c>
      <c r="N47" s="144" t="s">
        <v>386</v>
      </c>
      <c r="O47" s="144" t="s">
        <v>399</v>
      </c>
      <c r="P47" s="144" t="s">
        <v>347</v>
      </c>
      <c r="Q47" s="144" t="s">
        <v>362</v>
      </c>
      <c r="R47" s="145" t="s">
        <v>373</v>
      </c>
      <c r="T47" s="72">
        <v>0</v>
      </c>
      <c r="U47" s="129">
        <v>0</v>
      </c>
      <c r="V47" s="129">
        <v>0</v>
      </c>
      <c r="W47" s="129">
        <v>0</v>
      </c>
      <c r="X47" s="129">
        <v>0</v>
      </c>
      <c r="Y47" s="129">
        <v>0</v>
      </c>
      <c r="Z47" s="129">
        <v>0</v>
      </c>
      <c r="AA47" s="129">
        <v>0</v>
      </c>
      <c r="AB47" s="129">
        <v>0</v>
      </c>
      <c r="AC47" s="129">
        <v>0</v>
      </c>
      <c r="AD47" s="129">
        <v>0</v>
      </c>
      <c r="AE47" s="129">
        <v>0</v>
      </c>
      <c r="AF47" s="129">
        <v>0</v>
      </c>
      <c r="AG47" s="129">
        <v>5</v>
      </c>
      <c r="AH47" s="129">
        <v>5</v>
      </c>
      <c r="AI47" s="129">
        <v>5</v>
      </c>
      <c r="AJ47" s="129">
        <v>5</v>
      </c>
      <c r="AK47" s="129">
        <v>5</v>
      </c>
      <c r="AL47" s="129">
        <v>5</v>
      </c>
      <c r="AM47" s="129">
        <v>5</v>
      </c>
      <c r="AN47" s="129">
        <v>5</v>
      </c>
      <c r="AO47" s="129">
        <v>5</v>
      </c>
      <c r="AP47" s="129">
        <v>5</v>
      </c>
      <c r="AQ47" s="129">
        <v>5</v>
      </c>
      <c r="AR47" s="129">
        <v>5</v>
      </c>
      <c r="AS47" s="33">
        <v>5</v>
      </c>
    </row>
    <row r="48" spans="1:45" x14ac:dyDescent="0.2">
      <c r="A48" s="278"/>
      <c r="B48" s="247" t="str">
        <f t="shared" si="3"/>
        <v>5.11.4 / 7.12.3</v>
      </c>
      <c r="C48" s="231"/>
      <c r="D48" s="122" t="s">
        <v>30</v>
      </c>
      <c r="E48" s="122">
        <f t="shared" si="4"/>
        <v>0</v>
      </c>
      <c r="F48" s="122">
        <f t="shared" si="5"/>
        <v>5</v>
      </c>
      <c r="G48" s="124" t="s">
        <v>143</v>
      </c>
      <c r="H48" s="124">
        <v>1</v>
      </c>
      <c r="I48" s="168"/>
      <c r="J48" s="174" t="s">
        <v>164</v>
      </c>
      <c r="K48" s="175" t="s">
        <v>164</v>
      </c>
      <c r="M48" s="143" t="s">
        <v>349</v>
      </c>
      <c r="N48" s="144" t="s">
        <v>386</v>
      </c>
      <c r="O48" s="144" t="s">
        <v>399</v>
      </c>
      <c r="P48" s="144" t="s">
        <v>347</v>
      </c>
      <c r="Q48" s="144" t="s">
        <v>362</v>
      </c>
      <c r="R48" s="145" t="s">
        <v>373</v>
      </c>
      <c r="T48" s="72">
        <v>0</v>
      </c>
      <c r="U48" s="129">
        <v>0</v>
      </c>
      <c r="V48" s="129">
        <v>0</v>
      </c>
      <c r="W48" s="129">
        <v>0</v>
      </c>
      <c r="X48" s="129">
        <v>0</v>
      </c>
      <c r="Y48" s="129">
        <v>0</v>
      </c>
      <c r="Z48" s="129">
        <v>0</v>
      </c>
      <c r="AA48" s="129">
        <v>0</v>
      </c>
      <c r="AB48" s="129">
        <v>0</v>
      </c>
      <c r="AC48" s="129">
        <v>0</v>
      </c>
      <c r="AD48" s="129">
        <v>0</v>
      </c>
      <c r="AE48" s="129">
        <v>0</v>
      </c>
      <c r="AF48" s="129">
        <v>0</v>
      </c>
      <c r="AG48" s="129">
        <v>5</v>
      </c>
      <c r="AH48" s="129">
        <v>5</v>
      </c>
      <c r="AI48" s="129">
        <v>5</v>
      </c>
      <c r="AJ48" s="129">
        <v>5</v>
      </c>
      <c r="AK48" s="129">
        <v>5</v>
      </c>
      <c r="AL48" s="129">
        <v>5</v>
      </c>
      <c r="AM48" s="129">
        <v>5</v>
      </c>
      <c r="AN48" s="129">
        <v>5</v>
      </c>
      <c r="AO48" s="129">
        <v>5</v>
      </c>
      <c r="AP48" s="129">
        <v>5</v>
      </c>
      <c r="AQ48" s="129">
        <v>5</v>
      </c>
      <c r="AR48" s="129">
        <v>5</v>
      </c>
      <c r="AS48" s="33">
        <v>5</v>
      </c>
    </row>
    <row r="49" spans="1:45" x14ac:dyDescent="0.2">
      <c r="A49" s="278"/>
      <c r="B49" s="247" t="str">
        <f t="shared" si="3"/>
        <v>5.11.4 / 7.12.3</v>
      </c>
      <c r="C49" s="231"/>
      <c r="D49" s="122" t="s">
        <v>31</v>
      </c>
      <c r="E49" s="122">
        <f t="shared" si="4"/>
        <v>0</v>
      </c>
      <c r="F49" s="122">
        <f t="shared" si="5"/>
        <v>5</v>
      </c>
      <c r="G49" s="124" t="s">
        <v>143</v>
      </c>
      <c r="H49" s="124">
        <v>1</v>
      </c>
      <c r="I49" s="168"/>
      <c r="J49" s="174" t="s">
        <v>164</v>
      </c>
      <c r="K49" s="175" t="s">
        <v>164</v>
      </c>
      <c r="M49" s="143" t="s">
        <v>349</v>
      </c>
      <c r="N49" s="144" t="s">
        <v>386</v>
      </c>
      <c r="O49" s="144" t="s">
        <v>399</v>
      </c>
      <c r="P49" s="144" t="s">
        <v>347</v>
      </c>
      <c r="Q49" s="144" t="s">
        <v>362</v>
      </c>
      <c r="R49" s="145" t="s">
        <v>373</v>
      </c>
      <c r="T49" s="72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0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5</v>
      </c>
      <c r="AH49" s="129">
        <v>5</v>
      </c>
      <c r="AI49" s="129">
        <v>5</v>
      </c>
      <c r="AJ49" s="129">
        <v>5</v>
      </c>
      <c r="AK49" s="129">
        <v>5</v>
      </c>
      <c r="AL49" s="129">
        <v>5</v>
      </c>
      <c r="AM49" s="129">
        <v>5</v>
      </c>
      <c r="AN49" s="129">
        <v>5</v>
      </c>
      <c r="AO49" s="129">
        <v>5</v>
      </c>
      <c r="AP49" s="129">
        <v>5</v>
      </c>
      <c r="AQ49" s="129">
        <v>5</v>
      </c>
      <c r="AR49" s="129">
        <v>5</v>
      </c>
      <c r="AS49" s="33">
        <v>5</v>
      </c>
    </row>
    <row r="50" spans="1:45" x14ac:dyDescent="0.2">
      <c r="A50" s="278"/>
      <c r="B50" s="247" t="str">
        <f t="shared" si="3"/>
        <v>5.11.4 / 7.12.3</v>
      </c>
      <c r="C50" s="231"/>
      <c r="D50" s="122" t="s">
        <v>36</v>
      </c>
      <c r="E50" s="122">
        <f t="shared" si="4"/>
        <v>0</v>
      </c>
      <c r="F50" s="122">
        <f t="shared" si="5"/>
        <v>5</v>
      </c>
      <c r="G50" s="124" t="s">
        <v>143</v>
      </c>
      <c r="H50" s="124">
        <v>1</v>
      </c>
      <c r="I50" s="168"/>
      <c r="J50" s="174" t="s">
        <v>164</v>
      </c>
      <c r="K50" s="175" t="s">
        <v>164</v>
      </c>
      <c r="M50" s="143" t="s">
        <v>349</v>
      </c>
      <c r="N50" s="144" t="s">
        <v>386</v>
      </c>
      <c r="O50" s="144" t="s">
        <v>399</v>
      </c>
      <c r="P50" s="144" t="s">
        <v>347</v>
      </c>
      <c r="Q50" s="144" t="s">
        <v>362</v>
      </c>
      <c r="R50" s="145" t="s">
        <v>373</v>
      </c>
      <c r="T50" s="72">
        <v>0</v>
      </c>
      <c r="U50" s="129">
        <v>0</v>
      </c>
      <c r="V50" s="129">
        <v>0</v>
      </c>
      <c r="W50" s="129">
        <v>0</v>
      </c>
      <c r="X50" s="129">
        <v>0</v>
      </c>
      <c r="Y50" s="129">
        <v>0</v>
      </c>
      <c r="Z50" s="129">
        <v>0</v>
      </c>
      <c r="AA50" s="129">
        <v>0</v>
      </c>
      <c r="AB50" s="129">
        <v>0</v>
      </c>
      <c r="AC50" s="129">
        <v>0</v>
      </c>
      <c r="AD50" s="129">
        <v>0</v>
      </c>
      <c r="AE50" s="129">
        <v>0</v>
      </c>
      <c r="AF50" s="129">
        <v>0</v>
      </c>
      <c r="AG50" s="129">
        <v>5</v>
      </c>
      <c r="AH50" s="129">
        <v>5</v>
      </c>
      <c r="AI50" s="129">
        <v>5</v>
      </c>
      <c r="AJ50" s="129">
        <v>5</v>
      </c>
      <c r="AK50" s="129">
        <v>5</v>
      </c>
      <c r="AL50" s="129">
        <v>5</v>
      </c>
      <c r="AM50" s="129">
        <v>5</v>
      </c>
      <c r="AN50" s="129">
        <v>5</v>
      </c>
      <c r="AO50" s="129">
        <v>5</v>
      </c>
      <c r="AP50" s="129">
        <v>5</v>
      </c>
      <c r="AQ50" s="129">
        <v>5</v>
      </c>
      <c r="AR50" s="129">
        <v>5</v>
      </c>
      <c r="AS50" s="33">
        <v>5</v>
      </c>
    </row>
    <row r="51" spans="1:45" x14ac:dyDescent="0.2">
      <c r="A51" s="278"/>
      <c r="B51" s="247" t="str">
        <f t="shared" si="3"/>
        <v>5.11.4 / 7.12.3</v>
      </c>
      <c r="C51" s="231"/>
      <c r="D51" s="122" t="s">
        <v>32</v>
      </c>
      <c r="E51" s="122">
        <f t="shared" si="4"/>
        <v>0</v>
      </c>
      <c r="F51" s="122">
        <f t="shared" si="5"/>
        <v>5</v>
      </c>
      <c r="G51" s="124" t="s">
        <v>143</v>
      </c>
      <c r="H51" s="124">
        <v>1</v>
      </c>
      <c r="I51" s="168"/>
      <c r="J51" s="174" t="s">
        <v>164</v>
      </c>
      <c r="K51" s="175" t="s">
        <v>164</v>
      </c>
      <c r="M51" s="143" t="s">
        <v>349</v>
      </c>
      <c r="N51" s="144" t="s">
        <v>386</v>
      </c>
      <c r="O51" s="144" t="s">
        <v>399</v>
      </c>
      <c r="P51" s="144" t="s">
        <v>347</v>
      </c>
      <c r="Q51" s="144" t="s">
        <v>362</v>
      </c>
      <c r="R51" s="145" t="s">
        <v>373</v>
      </c>
      <c r="T51" s="72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5</v>
      </c>
      <c r="AH51" s="129">
        <v>5</v>
      </c>
      <c r="AI51" s="129">
        <v>5</v>
      </c>
      <c r="AJ51" s="129">
        <v>5</v>
      </c>
      <c r="AK51" s="129">
        <v>5</v>
      </c>
      <c r="AL51" s="129">
        <v>5</v>
      </c>
      <c r="AM51" s="129">
        <v>5</v>
      </c>
      <c r="AN51" s="129">
        <v>5</v>
      </c>
      <c r="AO51" s="129">
        <v>5</v>
      </c>
      <c r="AP51" s="129">
        <v>5</v>
      </c>
      <c r="AQ51" s="129">
        <v>5</v>
      </c>
      <c r="AR51" s="129">
        <v>5</v>
      </c>
      <c r="AS51" s="33">
        <v>5</v>
      </c>
    </row>
    <row r="52" spans="1:45" x14ac:dyDescent="0.2">
      <c r="A52" s="278"/>
      <c r="B52" s="247" t="str">
        <f t="shared" si="3"/>
        <v>5.11.4 / 7.12.3</v>
      </c>
      <c r="C52" s="231"/>
      <c r="D52" s="122" t="s">
        <v>33</v>
      </c>
      <c r="E52" s="122">
        <f t="shared" si="4"/>
        <v>0</v>
      </c>
      <c r="F52" s="122">
        <f t="shared" si="5"/>
        <v>5</v>
      </c>
      <c r="G52" s="124" t="s">
        <v>143</v>
      </c>
      <c r="H52" s="124">
        <v>1</v>
      </c>
      <c r="I52" s="168"/>
      <c r="J52" s="174" t="s">
        <v>164</v>
      </c>
      <c r="K52" s="175" t="s">
        <v>164</v>
      </c>
      <c r="M52" s="143" t="s">
        <v>349</v>
      </c>
      <c r="N52" s="144" t="s">
        <v>386</v>
      </c>
      <c r="O52" s="144" t="s">
        <v>399</v>
      </c>
      <c r="P52" s="144" t="s">
        <v>347</v>
      </c>
      <c r="Q52" s="144" t="s">
        <v>362</v>
      </c>
      <c r="R52" s="145" t="s">
        <v>373</v>
      </c>
      <c r="T52" s="72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5</v>
      </c>
      <c r="AH52" s="129">
        <v>5</v>
      </c>
      <c r="AI52" s="129">
        <v>5</v>
      </c>
      <c r="AJ52" s="129">
        <v>5</v>
      </c>
      <c r="AK52" s="129">
        <v>5</v>
      </c>
      <c r="AL52" s="129">
        <v>5</v>
      </c>
      <c r="AM52" s="129">
        <v>5</v>
      </c>
      <c r="AN52" s="129">
        <v>5</v>
      </c>
      <c r="AO52" s="129">
        <v>5</v>
      </c>
      <c r="AP52" s="129">
        <v>5</v>
      </c>
      <c r="AQ52" s="129">
        <v>5</v>
      </c>
      <c r="AR52" s="129">
        <v>5</v>
      </c>
      <c r="AS52" s="33">
        <v>5</v>
      </c>
    </row>
    <row r="53" spans="1:45" x14ac:dyDescent="0.2">
      <c r="A53" s="278"/>
      <c r="B53" s="247" t="str">
        <f t="shared" si="3"/>
        <v>5.11.4 / 7.12.3</v>
      </c>
      <c r="C53" s="231"/>
      <c r="D53" s="122" t="s">
        <v>34</v>
      </c>
      <c r="E53" s="122">
        <f t="shared" si="4"/>
        <v>0</v>
      </c>
      <c r="F53" s="122">
        <f t="shared" si="5"/>
        <v>5</v>
      </c>
      <c r="G53" s="124" t="s">
        <v>143</v>
      </c>
      <c r="H53" s="124">
        <v>1</v>
      </c>
      <c r="I53" s="168"/>
      <c r="J53" s="174" t="s">
        <v>164</v>
      </c>
      <c r="K53" s="175" t="s">
        <v>164</v>
      </c>
      <c r="M53" s="143" t="s">
        <v>349</v>
      </c>
      <c r="N53" s="144" t="s">
        <v>386</v>
      </c>
      <c r="O53" s="144" t="s">
        <v>399</v>
      </c>
      <c r="P53" s="144" t="s">
        <v>347</v>
      </c>
      <c r="Q53" s="144" t="s">
        <v>362</v>
      </c>
      <c r="R53" s="145" t="s">
        <v>373</v>
      </c>
      <c r="T53" s="72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5</v>
      </c>
      <c r="AH53" s="129">
        <v>5</v>
      </c>
      <c r="AI53" s="129">
        <v>5</v>
      </c>
      <c r="AJ53" s="129">
        <v>5</v>
      </c>
      <c r="AK53" s="129">
        <v>5</v>
      </c>
      <c r="AL53" s="129">
        <v>5</v>
      </c>
      <c r="AM53" s="129">
        <v>5</v>
      </c>
      <c r="AN53" s="129">
        <v>5</v>
      </c>
      <c r="AO53" s="129">
        <v>5</v>
      </c>
      <c r="AP53" s="129">
        <v>5</v>
      </c>
      <c r="AQ53" s="129">
        <v>5</v>
      </c>
      <c r="AR53" s="129">
        <v>5</v>
      </c>
      <c r="AS53" s="33">
        <v>5</v>
      </c>
    </row>
    <row r="54" spans="1:45" ht="15" thickBot="1" x14ac:dyDescent="0.25">
      <c r="A54" s="279"/>
      <c r="B54" s="248" t="str">
        <f t="shared" si="3"/>
        <v>5.11.4 / 7.12.3</v>
      </c>
      <c r="C54" s="246"/>
      <c r="D54" s="123" t="s">
        <v>35</v>
      </c>
      <c r="E54" s="123">
        <f t="shared" si="4"/>
        <v>0</v>
      </c>
      <c r="F54" s="123">
        <f t="shared" si="5"/>
        <v>5</v>
      </c>
      <c r="G54" s="125" t="s">
        <v>143</v>
      </c>
      <c r="H54" s="125">
        <v>1</v>
      </c>
      <c r="I54" s="170"/>
      <c r="J54" s="176" t="s">
        <v>164</v>
      </c>
      <c r="K54" s="177" t="s">
        <v>164</v>
      </c>
      <c r="M54" s="146" t="s">
        <v>349</v>
      </c>
      <c r="N54" s="147" t="s">
        <v>386</v>
      </c>
      <c r="O54" s="147" t="s">
        <v>399</v>
      </c>
      <c r="P54" s="147" t="s">
        <v>347</v>
      </c>
      <c r="Q54" s="147" t="s">
        <v>362</v>
      </c>
      <c r="R54" s="148" t="s">
        <v>373</v>
      </c>
      <c r="T54" s="66">
        <v>0</v>
      </c>
      <c r="U54" s="130">
        <v>0</v>
      </c>
      <c r="V54" s="130">
        <v>0</v>
      </c>
      <c r="W54" s="130">
        <v>0</v>
      </c>
      <c r="X54" s="130">
        <v>0</v>
      </c>
      <c r="Y54" s="130">
        <v>0</v>
      </c>
      <c r="Z54" s="130">
        <v>0</v>
      </c>
      <c r="AA54" s="130">
        <v>0</v>
      </c>
      <c r="AB54" s="130">
        <v>0</v>
      </c>
      <c r="AC54" s="130">
        <v>0</v>
      </c>
      <c r="AD54" s="130">
        <v>0</v>
      </c>
      <c r="AE54" s="130">
        <v>0</v>
      </c>
      <c r="AF54" s="130">
        <v>0</v>
      </c>
      <c r="AG54" s="130">
        <v>5</v>
      </c>
      <c r="AH54" s="130">
        <v>5</v>
      </c>
      <c r="AI54" s="130">
        <v>5</v>
      </c>
      <c r="AJ54" s="130">
        <v>5</v>
      </c>
      <c r="AK54" s="130">
        <v>5</v>
      </c>
      <c r="AL54" s="130">
        <v>5</v>
      </c>
      <c r="AM54" s="130">
        <v>5</v>
      </c>
      <c r="AN54" s="130">
        <v>5</v>
      </c>
      <c r="AO54" s="130">
        <v>5</v>
      </c>
      <c r="AP54" s="130">
        <v>5</v>
      </c>
      <c r="AQ54" s="130">
        <v>5</v>
      </c>
      <c r="AR54" s="130">
        <v>5</v>
      </c>
      <c r="AS54" s="34">
        <v>5</v>
      </c>
    </row>
    <row r="55" spans="1:45" s="2" customFormat="1" ht="15" thickBot="1" x14ac:dyDescent="0.25">
      <c r="A55" s="249" t="s">
        <v>110</v>
      </c>
      <c r="B55" s="250"/>
      <c r="C55" s="250"/>
      <c r="D55" s="250"/>
      <c r="E55" s="250"/>
      <c r="F55" s="250"/>
      <c r="G55" s="250"/>
      <c r="H55" s="250"/>
      <c r="I55" s="250"/>
      <c r="J55" s="250"/>
      <c r="K55" s="251"/>
      <c r="M55" s="154" t="s">
        <v>374</v>
      </c>
      <c r="N55" s="155" t="s">
        <v>108</v>
      </c>
      <c r="O55" s="155" t="s">
        <v>140</v>
      </c>
      <c r="P55" s="155" t="s">
        <v>374</v>
      </c>
      <c r="Q55" s="155" t="s">
        <v>108</v>
      </c>
      <c r="R55" s="153" t="s">
        <v>140</v>
      </c>
      <c r="T55" s="154" t="s">
        <v>41</v>
      </c>
      <c r="U55" s="155" t="s">
        <v>43</v>
      </c>
      <c r="V55" s="155" t="s">
        <v>41</v>
      </c>
      <c r="W55" s="155" t="s">
        <v>43</v>
      </c>
      <c r="X55" s="155" t="s">
        <v>42</v>
      </c>
      <c r="Y55" s="155" t="s">
        <v>45</v>
      </c>
      <c r="Z55" s="155" t="s">
        <v>53</v>
      </c>
      <c r="AA55" s="152" t="s">
        <v>142</v>
      </c>
      <c r="AB55" s="152" t="s">
        <v>141</v>
      </c>
      <c r="AC55" s="152" t="s">
        <v>139</v>
      </c>
      <c r="AD55" s="152" t="s">
        <v>44</v>
      </c>
      <c r="AE55" s="155" t="s">
        <v>108</v>
      </c>
      <c r="AF55" s="155" t="s">
        <v>140</v>
      </c>
      <c r="AG55" s="155" t="s">
        <v>41</v>
      </c>
      <c r="AH55" s="155" t="s">
        <v>43</v>
      </c>
      <c r="AI55" s="155" t="s">
        <v>41</v>
      </c>
      <c r="AJ55" s="155" t="s">
        <v>43</v>
      </c>
      <c r="AK55" s="155" t="s">
        <v>42</v>
      </c>
      <c r="AL55" s="155" t="s">
        <v>45</v>
      </c>
      <c r="AM55" s="155" t="s">
        <v>53</v>
      </c>
      <c r="AN55" s="152" t="s">
        <v>142</v>
      </c>
      <c r="AO55" s="152" t="s">
        <v>141</v>
      </c>
      <c r="AP55" s="152" t="s">
        <v>139</v>
      </c>
      <c r="AQ55" s="152" t="s">
        <v>44</v>
      </c>
      <c r="AR55" s="155" t="s">
        <v>108</v>
      </c>
      <c r="AS55" s="153" t="s">
        <v>140</v>
      </c>
    </row>
    <row r="56" spans="1:45" ht="15" thickTop="1" x14ac:dyDescent="0.2">
      <c r="A56" s="239" t="s">
        <v>227</v>
      </c>
      <c r="B56" s="242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 ""," / "&amp;HLOOKUP(SUBSTITUTE(SUBSTITUTE(SUBSTITUTE(SUBSTITUTE(SUBSTITUTE(VCBW,"AMR_",""),"EVS_",""),"SO3_",""),"SO68_",""),"SO73_",""),$P$3:$R$59,ROW(B56)-ROW($P$3)+1,FALSE))</f>
        <v>P.863</v>
      </c>
      <c r="C56" s="156" t="s">
        <v>11</v>
      </c>
      <c r="D56" s="156"/>
      <c r="E56" s="156">
        <f>HLOOKUP(IF(OR("GSM"=Network,"WCDMA"=Network),"UMTS",IF(OR("VoLTE"=Network,"VoNR"=Network,"VoWiFi"=Network),"VoIMS",Network))&amp;" "&amp;VCBW,$T$3:$AF$59,ROW(E56)-ROW($T$3)+1,FALSE)</f>
        <v>3.2</v>
      </c>
      <c r="F56" s="156">
        <f>HLOOKUP(IF(OR("GSM"=Network,"WCDMA"=Network),"UMTS",IF(OR("VoLTE"=Network,"VoNR"=Network,"VoWiFi"=Network),"VoIMS",Network))&amp;" "&amp;VCBW,$AG$3:$AS$59,ROW(E56)-ROW($AG$3)+1,FALSE)</f>
        <v>3.8</v>
      </c>
      <c r="G56" s="164" t="s">
        <v>21</v>
      </c>
      <c r="H56" s="156">
        <v>1</v>
      </c>
      <c r="I56" s="172"/>
      <c r="J56" s="172" t="s">
        <v>164</v>
      </c>
      <c r="K56" s="173" t="s">
        <v>164</v>
      </c>
      <c r="M56" s="143" t="s">
        <v>553</v>
      </c>
      <c r="N56" s="144" t="s">
        <v>553</v>
      </c>
      <c r="O56" s="144" t="s">
        <v>553</v>
      </c>
      <c r="P56" s="144"/>
      <c r="Q56" s="144"/>
      <c r="R56" s="145"/>
      <c r="T56" s="72">
        <v>3.2</v>
      </c>
      <c r="U56" s="157">
        <v>3.9</v>
      </c>
      <c r="V56" s="157">
        <v>3.2</v>
      </c>
      <c r="W56" s="157">
        <v>3.9</v>
      </c>
      <c r="X56" s="157">
        <v>3.2</v>
      </c>
      <c r="Y56" s="157">
        <v>3.9</v>
      </c>
      <c r="Z56" s="157">
        <v>3.9</v>
      </c>
      <c r="AA56" s="157">
        <v>3.2</v>
      </c>
      <c r="AB56" s="157">
        <v>3.2</v>
      </c>
      <c r="AC56" s="157">
        <v>3.2</v>
      </c>
      <c r="AD56" s="157">
        <v>3.9</v>
      </c>
      <c r="AE56" s="157">
        <v>3.9</v>
      </c>
      <c r="AF56" s="157">
        <v>3.9</v>
      </c>
      <c r="AG56" s="157">
        <v>3.8</v>
      </c>
      <c r="AH56" s="157">
        <v>4.5</v>
      </c>
      <c r="AI56" s="157">
        <v>3.8</v>
      </c>
      <c r="AJ56" s="157">
        <v>4.5</v>
      </c>
      <c r="AK56" s="157">
        <v>3.8</v>
      </c>
      <c r="AL56" s="157">
        <v>4.5</v>
      </c>
      <c r="AM56" s="157">
        <v>4.8</v>
      </c>
      <c r="AN56" s="157">
        <v>3.8</v>
      </c>
      <c r="AO56" s="157">
        <v>3.8</v>
      </c>
      <c r="AP56" s="157">
        <v>3.8</v>
      </c>
      <c r="AQ56" s="157">
        <v>4.5</v>
      </c>
      <c r="AR56" s="157">
        <v>4.5</v>
      </c>
      <c r="AS56" s="33">
        <v>4.8</v>
      </c>
    </row>
    <row r="57" spans="1:45" x14ac:dyDescent="0.2">
      <c r="A57" s="240"/>
      <c r="B57" s="243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 ""," / "&amp;HLOOKUP(SUBSTITUTE(SUBSTITUTE(SUBSTITUTE(SUBSTITUTE(SUBSTITUTE(VCBW,"AMR_",""),"EVS_",""),"SO3_",""),"SO68_",""),"SO73_",""),$P$3:$R$59,ROW(B57)-ROW($P$3)+1,FALSE))</f>
        <v>P.863</v>
      </c>
      <c r="C57" s="243" t="s">
        <v>145</v>
      </c>
      <c r="D57" s="157" t="s">
        <v>146</v>
      </c>
      <c r="E57" s="157">
        <f>HLOOKUP(IF(OR("GSM"=Network,"WCDMA"=Network),"UMTS",IF(OR("VoLTE"=Network,"VoNR"=Network,"VoWiFi"=Network),"VoIMS",Network))&amp;" "&amp;VCBW,$T$3:$AF$59,ROW(E57)-ROW($T$3)+1,FALSE)</f>
        <v>3.2</v>
      </c>
      <c r="F57" s="157">
        <f>HLOOKUP(IF(OR("GSM"=Network,"WCDMA"=Network),"UMTS",IF(OR("VoLTE"=Network,"VoNR"=Network,"VoWiFi"=Network),"VoIMS",Network))&amp;" "&amp;VCBW,$AG$3:$AS$59,ROW(E57)-ROW($AG$3)+1,FALSE)</f>
        <v>3.8</v>
      </c>
      <c r="G57" s="159" t="s">
        <v>21</v>
      </c>
      <c r="H57" s="157">
        <v>1</v>
      </c>
      <c r="I57" s="174"/>
      <c r="J57" s="174" t="s">
        <v>164</v>
      </c>
      <c r="K57" s="175" t="s">
        <v>164</v>
      </c>
      <c r="M57" s="143" t="s">
        <v>553</v>
      </c>
      <c r="N57" s="144" t="s">
        <v>553</v>
      </c>
      <c r="O57" s="144" t="s">
        <v>553</v>
      </c>
      <c r="P57" s="144"/>
      <c r="Q57" s="144"/>
      <c r="R57" s="145"/>
      <c r="T57" s="72">
        <v>3.2</v>
      </c>
      <c r="U57" s="157">
        <v>3.7</v>
      </c>
      <c r="V57" s="157">
        <v>3.2</v>
      </c>
      <c r="W57" s="157">
        <v>3.7</v>
      </c>
      <c r="X57" s="157">
        <v>3.2</v>
      </c>
      <c r="Y57" s="157">
        <v>3.7</v>
      </c>
      <c r="Z57" s="157">
        <v>3.7</v>
      </c>
      <c r="AA57" s="157">
        <v>3.2</v>
      </c>
      <c r="AB57" s="157">
        <v>3.2</v>
      </c>
      <c r="AC57" s="157">
        <v>3.2</v>
      </c>
      <c r="AD57" s="157">
        <v>3.7</v>
      </c>
      <c r="AE57" s="157">
        <v>3.7</v>
      </c>
      <c r="AF57" s="157">
        <v>3.7</v>
      </c>
      <c r="AG57" s="157">
        <v>3.8</v>
      </c>
      <c r="AH57" s="157">
        <v>4.5</v>
      </c>
      <c r="AI57" s="157">
        <v>3.8</v>
      </c>
      <c r="AJ57" s="157">
        <v>4.5</v>
      </c>
      <c r="AK57" s="157">
        <v>3.8</v>
      </c>
      <c r="AL57" s="157">
        <v>4.5</v>
      </c>
      <c r="AM57" s="157">
        <v>4.8</v>
      </c>
      <c r="AN57" s="157">
        <v>3.8</v>
      </c>
      <c r="AO57" s="157">
        <v>3.8</v>
      </c>
      <c r="AP57" s="157">
        <v>3.8</v>
      </c>
      <c r="AQ57" s="157">
        <v>4.5</v>
      </c>
      <c r="AR57" s="157">
        <v>4.5</v>
      </c>
      <c r="AS57" s="33">
        <v>4.8</v>
      </c>
    </row>
    <row r="58" spans="1:45" x14ac:dyDescent="0.2">
      <c r="A58" s="240"/>
      <c r="B58" s="243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 ""," / "&amp;HLOOKUP(SUBSTITUTE(SUBSTITUTE(SUBSTITUTE(SUBSTITUTE(SUBSTITUTE(VCBW,"AMR_",""),"EVS_",""),"SO3_",""),"SO68_",""),"SO73_",""),$P$3:$R$59,ROW(B58)-ROW($P$3)+1,FALSE))</f>
        <v>P.863</v>
      </c>
      <c r="C58" s="243"/>
      <c r="D58" s="157" t="s">
        <v>147</v>
      </c>
      <c r="E58" s="157">
        <f>HLOOKUP(IF(OR("GSM"=Network,"WCDMA"=Network),"UMTS",IF(OR("VoLTE"=Network,"VoNR"=Network,"VoWiFi"=Network),"VoIMS",Network))&amp;" "&amp;VCBW,$T$3:$AF$59,ROW(E58)-ROW($T$3)+1,FALSE)</f>
        <v>3.2</v>
      </c>
      <c r="F58" s="157">
        <f>HLOOKUP(IF(OR("GSM"=Network,"WCDMA"=Network),"UMTS",IF(OR("VoLTE"=Network,"VoNR"=Network,"VoWiFi"=Network),"VoIMS",Network))&amp;" "&amp;VCBW,$AG$3:$AS$59,ROW(E58)-ROW($AG$3)+1,FALSE)</f>
        <v>3.8</v>
      </c>
      <c r="G58" s="159" t="s">
        <v>21</v>
      </c>
      <c r="H58" s="157">
        <v>1</v>
      </c>
      <c r="I58" s="174"/>
      <c r="J58" s="174" t="s">
        <v>164</v>
      </c>
      <c r="K58" s="175" t="s">
        <v>164</v>
      </c>
      <c r="M58" s="143" t="s">
        <v>553</v>
      </c>
      <c r="N58" s="144" t="s">
        <v>553</v>
      </c>
      <c r="O58" s="144" t="s">
        <v>553</v>
      </c>
      <c r="P58" s="144"/>
      <c r="Q58" s="144"/>
      <c r="R58" s="145"/>
      <c r="T58" s="72">
        <v>3.2</v>
      </c>
      <c r="U58" s="157">
        <v>3.7</v>
      </c>
      <c r="V58" s="157">
        <v>3.2</v>
      </c>
      <c r="W58" s="157">
        <v>3.7</v>
      </c>
      <c r="X58" s="157">
        <v>3.2</v>
      </c>
      <c r="Y58" s="157">
        <v>3.7</v>
      </c>
      <c r="Z58" s="157">
        <v>3.7</v>
      </c>
      <c r="AA58" s="157">
        <v>3.2</v>
      </c>
      <c r="AB58" s="157">
        <v>3.2</v>
      </c>
      <c r="AC58" s="157">
        <v>3.2</v>
      </c>
      <c r="AD58" s="157">
        <v>3.7</v>
      </c>
      <c r="AE58" s="157">
        <v>3.7</v>
      </c>
      <c r="AF58" s="157">
        <v>3.7</v>
      </c>
      <c r="AG58" s="157">
        <v>3.8</v>
      </c>
      <c r="AH58" s="157">
        <v>4.5</v>
      </c>
      <c r="AI58" s="157">
        <v>3.8</v>
      </c>
      <c r="AJ58" s="157">
        <v>4.5</v>
      </c>
      <c r="AK58" s="157">
        <v>3.8</v>
      </c>
      <c r="AL58" s="157">
        <v>4.5</v>
      </c>
      <c r="AM58" s="157">
        <v>4.8</v>
      </c>
      <c r="AN58" s="157">
        <v>3.8</v>
      </c>
      <c r="AO58" s="157">
        <v>3.8</v>
      </c>
      <c r="AP58" s="157">
        <v>3.8</v>
      </c>
      <c r="AQ58" s="157">
        <v>4.5</v>
      </c>
      <c r="AR58" s="157">
        <v>4.5</v>
      </c>
      <c r="AS58" s="33">
        <v>4.8</v>
      </c>
    </row>
    <row r="59" spans="1:45" ht="15" thickBot="1" x14ac:dyDescent="0.25">
      <c r="A59" s="241"/>
      <c r="B59" s="244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 ""," / "&amp;HLOOKUP(SUBSTITUTE(SUBSTITUTE(SUBSTITUTE(SUBSTITUTE(SUBSTITUTE(VCBW,"AMR_",""),"EVS_",""),"SO3_",""),"SO68_",""),"SO73_",""),$P$3:$R$59,ROW(B59)-ROW($P$3)+1,FALSE))</f>
        <v>P.863</v>
      </c>
      <c r="C59" s="244"/>
      <c r="D59" s="158" t="s">
        <v>148</v>
      </c>
      <c r="E59" s="158">
        <f>HLOOKUP(IF(OR("GSM"=Network,"WCDMA"=Network),"UMTS",IF(OR("VoLTE"=Network,"VoNR"=Network,"VoWiFi"=Network),"VoIMS",Network))&amp;" "&amp;VCBW,$T$3:$AF$59,ROW(E59)-ROW($T$3)+1,FALSE)</f>
        <v>3.2</v>
      </c>
      <c r="F59" s="158">
        <f>HLOOKUP(IF(OR("GSM"=Network,"WCDMA"=Network),"UMTS",IF(OR("VoLTE"=Network,"VoNR"=Network,"VoWiFi"=Network),"VoIMS",Network))&amp;" "&amp;VCBW,$AG$3:$AS$59,ROW(E59)-ROW($AG$3)+1,FALSE)</f>
        <v>3.8</v>
      </c>
      <c r="G59" s="160" t="s">
        <v>21</v>
      </c>
      <c r="H59" s="158">
        <v>1</v>
      </c>
      <c r="I59" s="176"/>
      <c r="J59" s="176" t="s">
        <v>164</v>
      </c>
      <c r="K59" s="177" t="s">
        <v>164</v>
      </c>
      <c r="M59" s="146" t="s">
        <v>553</v>
      </c>
      <c r="N59" s="147" t="s">
        <v>553</v>
      </c>
      <c r="O59" s="147" t="s">
        <v>553</v>
      </c>
      <c r="P59" s="147"/>
      <c r="Q59" s="147"/>
      <c r="R59" s="148"/>
      <c r="T59" s="66">
        <v>3.2</v>
      </c>
      <c r="U59" s="158">
        <v>3.7</v>
      </c>
      <c r="V59" s="158">
        <v>3.2</v>
      </c>
      <c r="W59" s="158">
        <v>3.7</v>
      </c>
      <c r="X59" s="158">
        <v>3.2</v>
      </c>
      <c r="Y59" s="158">
        <v>3.7</v>
      </c>
      <c r="Z59" s="158">
        <v>3.7</v>
      </c>
      <c r="AA59" s="158">
        <v>3.2</v>
      </c>
      <c r="AB59" s="158">
        <v>3.2</v>
      </c>
      <c r="AC59" s="158">
        <v>3.2</v>
      </c>
      <c r="AD59" s="158">
        <v>3.7</v>
      </c>
      <c r="AE59" s="158">
        <v>3.7</v>
      </c>
      <c r="AF59" s="158">
        <v>3.7</v>
      </c>
      <c r="AG59" s="158">
        <v>3.8</v>
      </c>
      <c r="AH59" s="158">
        <v>4.5</v>
      </c>
      <c r="AI59" s="158">
        <v>3.8</v>
      </c>
      <c r="AJ59" s="158">
        <v>4.5</v>
      </c>
      <c r="AK59" s="158">
        <v>3.8</v>
      </c>
      <c r="AL59" s="158">
        <v>4.5</v>
      </c>
      <c r="AM59" s="158">
        <v>4.8</v>
      </c>
      <c r="AN59" s="158">
        <v>3.8</v>
      </c>
      <c r="AO59" s="158">
        <v>3.8</v>
      </c>
      <c r="AP59" s="158">
        <v>3.8</v>
      </c>
      <c r="AQ59" s="158">
        <v>4.5</v>
      </c>
      <c r="AR59" s="158">
        <v>4.5</v>
      </c>
      <c r="AS59" s="34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dataConsolidate/>
  <mergeCells count="63">
    <mergeCell ref="B27:B28"/>
    <mergeCell ref="C30:C31"/>
    <mergeCell ref="C33:C34"/>
    <mergeCell ref="R3:R4"/>
    <mergeCell ref="B25:B26"/>
    <mergeCell ref="M3:M4"/>
    <mergeCell ref="N3:N4"/>
    <mergeCell ref="O3:O4"/>
    <mergeCell ref="P3:P4"/>
    <mergeCell ref="Q3:Q4"/>
    <mergeCell ref="C15:C16"/>
    <mergeCell ref="C17:C19"/>
    <mergeCell ref="B17:B19"/>
    <mergeCell ref="B15:B16"/>
    <mergeCell ref="C7:C14"/>
    <mergeCell ref="B7:B14"/>
    <mergeCell ref="A36:A54"/>
    <mergeCell ref="C39:C46"/>
    <mergeCell ref="C47:C54"/>
    <mergeCell ref="B36:B54"/>
    <mergeCell ref="B30:B35"/>
    <mergeCell ref="AS3:AS4"/>
    <mergeCell ref="AG3:AG4"/>
    <mergeCell ref="AH3:AH4"/>
    <mergeCell ref="AI3:AI4"/>
    <mergeCell ref="AJ3:AJ4"/>
    <mergeCell ref="AP3:AP4"/>
    <mergeCell ref="AQ3:AQ4"/>
    <mergeCell ref="AR3:AR4"/>
    <mergeCell ref="AK3:AK4"/>
    <mergeCell ref="AL3:AL4"/>
    <mergeCell ref="AM3:AM4"/>
    <mergeCell ref="AN3:AN4"/>
    <mergeCell ref="AO3:AO4"/>
    <mergeCell ref="AD3:AD4"/>
    <mergeCell ref="AE3:AE4"/>
    <mergeCell ref="AF3:AF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A56:A59"/>
    <mergeCell ref="B56:B59"/>
    <mergeCell ref="C57:C59"/>
    <mergeCell ref="A55:K55"/>
    <mergeCell ref="A1:H1"/>
    <mergeCell ref="A3:D3"/>
    <mergeCell ref="E3:H3"/>
    <mergeCell ref="A5:K5"/>
    <mergeCell ref="A6:A14"/>
    <mergeCell ref="A20:A21"/>
    <mergeCell ref="A15:A19"/>
    <mergeCell ref="B22:B24"/>
    <mergeCell ref="C22:C24"/>
    <mergeCell ref="A22:A24"/>
    <mergeCell ref="A25:A28"/>
    <mergeCell ref="A30:A35"/>
  </mergeCells>
  <phoneticPr fontId="1" type="noConversion"/>
  <conditionalFormatting sqref="I6:K54">
    <cfRule type="cellIs" dxfId="20" priority="7" stopIfTrue="1" operator="equal">
      <formula>"×"</formula>
    </cfRule>
    <cfRule type="containsBlanks" priority="13" stopIfTrue="1">
      <formula>LEN(TRIM(I6))=0</formula>
    </cfRule>
    <cfRule type="expression" dxfId="19" priority="14" stopIfTrue="1">
      <formula>OR(AND(1=$H6,OR(AND(ISNUMBER($E6),I6&lt;$E6),AND(ISNUMBER($F6),I6&gt;$F6),"Fail"=I6)),AND(2=$H6,ISNUMBER($F6),I6&gt;$F6),AND(3=$H6,ISNUMBER($E6),I6&lt;$E6))</formula>
    </cfRule>
    <cfRule type="expression" dxfId="18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54">
    <cfRule type="expression" dxfId="17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I56:K59">
    <cfRule type="cellIs" dxfId="16" priority="1" stopIfTrue="1" operator="equal">
      <formula>"×"</formula>
    </cfRule>
    <cfRule type="containsBlanks" priority="3" stopIfTrue="1">
      <formula>LEN(TRIM(I56))=0</formula>
    </cfRule>
    <cfRule type="expression" dxfId="15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14" priority="5" stopIfTrue="1">
      <formula>OR(AND(1=$H56,"N/A"=I56),AND(2=$H56,ISNUMBER($E56),I56&lt;$E56),AND(3=$H56,ISNUMBER($F56),I56&gt;$F56),AND(4=$H56,OR(AND(ISNUMBER($E56),I56&lt;$E56),AND(ISNUMBER($F56),I56&gt;$F56),"Fail"=I56)),5=$H56)</formula>
    </cfRule>
  </conditionalFormatting>
  <conditionalFormatting sqref="I56:K59">
    <cfRule type="expression" dxfId="13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 xr:uid="{BF7412B0-C772-4985-A7B2-5B194244ADBA}">
      <formula1>OR(ISNUMBER(I56),"×"=I56)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stopIfTrue="1" id="{4A285911-0BF4-42F0-8DFB-81A9FC157B4D}">
            <xm:f>InterfaceType=Report!$C$65</xm:f>
            <x14:dxf>
              <fill>
                <patternFill patternType="lightUp"/>
              </fill>
            </x14:dxf>
          </x14:cfRule>
          <xm:sqref>A6:I30 A32:I33 A31:B31 D31:I31 A35:I54 A34:B34 D34:I34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458A-FCDE-42C7-909F-D0CF6D26A5DB}">
  <sheetPr>
    <tabColor theme="8" tint="0.79998168889431442"/>
  </sheetPr>
  <dimension ref="A1:AS57"/>
  <sheetViews>
    <sheetView topLeftCell="M1"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7" customWidth="1"/>
    <col min="2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665</v>
      </c>
      <c r="B1" s="253"/>
      <c r="C1" s="253"/>
      <c r="D1" s="253"/>
      <c r="E1" s="253"/>
      <c r="F1" s="253"/>
      <c r="G1" s="253"/>
      <c r="H1" s="253"/>
      <c r="I1" s="67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163" t="str">
        <f>Report!B15</f>
        <v>VoLTE</v>
      </c>
      <c r="J3" s="163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6" t="s">
        <v>22</v>
      </c>
      <c r="B4" s="27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38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6"/>
    </row>
    <row r="5" spans="1:45" s="2" customFormat="1" ht="15" thickBot="1" x14ac:dyDescent="0.25">
      <c r="A5" s="249" t="s">
        <v>311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154" t="s">
        <v>374</v>
      </c>
      <c r="N5" s="155" t="s">
        <v>108</v>
      </c>
      <c r="O5" s="155" t="s">
        <v>140</v>
      </c>
      <c r="P5" s="155" t="s">
        <v>374</v>
      </c>
      <c r="Q5" s="155" t="s">
        <v>108</v>
      </c>
      <c r="R5" s="153" t="s">
        <v>140</v>
      </c>
      <c r="T5" s="154" t="s">
        <v>41</v>
      </c>
      <c r="U5" s="155" t="s">
        <v>43</v>
      </c>
      <c r="V5" s="155" t="s">
        <v>41</v>
      </c>
      <c r="W5" s="155" t="s">
        <v>43</v>
      </c>
      <c r="X5" s="155" t="s">
        <v>42</v>
      </c>
      <c r="Y5" s="155" t="s">
        <v>45</v>
      </c>
      <c r="Z5" s="155" t="s">
        <v>53</v>
      </c>
      <c r="AA5" s="152" t="s">
        <v>142</v>
      </c>
      <c r="AB5" s="152" t="s">
        <v>141</v>
      </c>
      <c r="AC5" s="152" t="s">
        <v>139</v>
      </c>
      <c r="AD5" s="152" t="s">
        <v>44</v>
      </c>
      <c r="AE5" s="155" t="s">
        <v>108</v>
      </c>
      <c r="AF5" s="155" t="s">
        <v>140</v>
      </c>
      <c r="AG5" s="155" t="s">
        <v>41</v>
      </c>
      <c r="AH5" s="155" t="s">
        <v>43</v>
      </c>
      <c r="AI5" s="155" t="s">
        <v>41</v>
      </c>
      <c r="AJ5" s="155" t="s">
        <v>43</v>
      </c>
      <c r="AK5" s="155" t="s">
        <v>42</v>
      </c>
      <c r="AL5" s="155" t="s">
        <v>45</v>
      </c>
      <c r="AM5" s="155" t="s">
        <v>53</v>
      </c>
      <c r="AN5" s="152" t="s">
        <v>142</v>
      </c>
      <c r="AO5" s="152" t="s">
        <v>141</v>
      </c>
      <c r="AP5" s="152" t="s">
        <v>139</v>
      </c>
      <c r="AQ5" s="152" t="s">
        <v>44</v>
      </c>
      <c r="AR5" s="155" t="s">
        <v>108</v>
      </c>
      <c r="AS5" s="153" t="s">
        <v>140</v>
      </c>
    </row>
    <row r="6" spans="1:45" ht="15" thickTop="1" x14ac:dyDescent="0.2">
      <c r="A6" s="269" t="s">
        <v>121</v>
      </c>
      <c r="B6" s="164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 ""," / "&amp;HLOOKUP(SUBSTITUTE(SUBSTITUTE(SUBSTITUTE(SUBSTITUTE(SUBSTITUTE(VCBW,"AMR_",""),"EVS_",""),"SO3_",""),"SO68_",""),"SO73_",""),$P$3:$R$57,ROW(B6)-ROW($P$3)+1,FALSE))</f>
        <v>5.2.6.2 / 7.2.6.1</v>
      </c>
      <c r="C6" s="164" t="s">
        <v>304</v>
      </c>
      <c r="D6" s="164"/>
      <c r="E6" s="164">
        <f t="shared" ref="E6:E52" si="1">HLOOKUP(IF(OR("GSM"=Network,"WCDMA"=Network),"UMTS",IF(OR("VoLTE"=Network,"VoNR"=Network,"VoWiFi"=Network),"VoIMS",Network))&amp;" "&amp;VCBW,$T$3:$AF$57,ROW(E6)-ROW($T$3)+1,FALSE)</f>
        <v>-3</v>
      </c>
      <c r="F6" s="164">
        <f t="shared" ref="F6:F52" si="2">HLOOKUP(IF(OR("GSM"=Network,"WCDMA"=Network),"UMTS",IF(OR("VoLTE"=Network,"VoNR"=Network,"VoWiFi"=Network),"VoIMS",Network))&amp;" "&amp;VCBW,$AG$3:$AS$57,ROW(E6)-ROW($AG$3)+1,FALSE)</f>
        <v>3</v>
      </c>
      <c r="G6" s="164" t="s">
        <v>153</v>
      </c>
      <c r="H6" s="164">
        <v>1</v>
      </c>
      <c r="I6" s="166"/>
      <c r="J6" s="172" t="s">
        <v>164</v>
      </c>
      <c r="K6" s="173" t="s">
        <v>164</v>
      </c>
      <c r="M6" s="143" t="s">
        <v>330</v>
      </c>
      <c r="N6" s="144" t="s">
        <v>379</v>
      </c>
      <c r="O6" s="144" t="s">
        <v>309</v>
      </c>
      <c r="P6" s="144" t="s">
        <v>307</v>
      </c>
      <c r="Q6" s="144" t="s">
        <v>351</v>
      </c>
      <c r="R6" s="145" t="s">
        <v>363</v>
      </c>
      <c r="T6" s="72">
        <v>-3</v>
      </c>
      <c r="U6" s="157">
        <v>-3</v>
      </c>
      <c r="V6" s="157">
        <v>-3</v>
      </c>
      <c r="W6" s="157">
        <v>-3</v>
      </c>
      <c r="X6" s="157">
        <v>-3</v>
      </c>
      <c r="Y6" s="157">
        <v>-3</v>
      </c>
      <c r="Z6" s="157">
        <v>-3</v>
      </c>
      <c r="AA6" s="157">
        <v>-3</v>
      </c>
      <c r="AB6" s="157">
        <v>-3</v>
      </c>
      <c r="AC6" s="157">
        <v>-3</v>
      </c>
      <c r="AD6" s="157">
        <v>-3</v>
      </c>
      <c r="AE6" s="157">
        <v>-3</v>
      </c>
      <c r="AF6" s="157">
        <v>-3</v>
      </c>
      <c r="AG6" s="157">
        <v>3</v>
      </c>
      <c r="AH6" s="157">
        <v>3</v>
      </c>
      <c r="AI6" s="157">
        <v>3</v>
      </c>
      <c r="AJ6" s="157">
        <v>3</v>
      </c>
      <c r="AK6" s="157">
        <v>3</v>
      </c>
      <c r="AL6" s="157">
        <v>3</v>
      </c>
      <c r="AM6" s="157">
        <v>3</v>
      </c>
      <c r="AN6" s="157">
        <v>3</v>
      </c>
      <c r="AO6" s="157">
        <v>3</v>
      </c>
      <c r="AP6" s="157">
        <v>3</v>
      </c>
      <c r="AQ6" s="157">
        <v>3</v>
      </c>
      <c r="AR6" s="157">
        <v>3</v>
      </c>
      <c r="AS6" s="33">
        <v>3</v>
      </c>
    </row>
    <row r="7" spans="1:45" x14ac:dyDescent="0.2">
      <c r="A7" s="276"/>
      <c r="B7" s="231" t="str">
        <f t="shared" si="0"/>
        <v>5.2.6.2 / 7.2.6.2</v>
      </c>
      <c r="C7" s="231" t="s">
        <v>305</v>
      </c>
      <c r="D7" s="159" t="s">
        <v>84</v>
      </c>
      <c r="E7" s="159">
        <f t="shared" si="1"/>
        <v>-3</v>
      </c>
      <c r="F7" s="159" t="str">
        <f t="shared" si="2"/>
        <v>N/A</v>
      </c>
      <c r="G7" s="159" t="s">
        <v>153</v>
      </c>
      <c r="H7" s="159">
        <v>1</v>
      </c>
      <c r="I7" s="168"/>
      <c r="J7" s="174" t="s">
        <v>164</v>
      </c>
      <c r="K7" s="175" t="s">
        <v>164</v>
      </c>
      <c r="M7" s="143" t="s">
        <v>330</v>
      </c>
      <c r="N7" s="144" t="s">
        <v>378</v>
      </c>
      <c r="O7" s="144" t="s">
        <v>308</v>
      </c>
      <c r="P7" s="144" t="s">
        <v>309</v>
      </c>
      <c r="Q7" s="144" t="s">
        <v>352</v>
      </c>
      <c r="R7" s="145" t="s">
        <v>364</v>
      </c>
      <c r="T7" s="72">
        <v>-3</v>
      </c>
      <c r="U7" s="157">
        <v>-3</v>
      </c>
      <c r="V7" s="157">
        <v>-3</v>
      </c>
      <c r="W7" s="157">
        <v>-3</v>
      </c>
      <c r="X7" s="157">
        <v>-3</v>
      </c>
      <c r="Y7" s="157">
        <v>-3</v>
      </c>
      <c r="Z7" s="157">
        <v>-3</v>
      </c>
      <c r="AA7" s="157">
        <v>-3</v>
      </c>
      <c r="AB7" s="157">
        <v>-3</v>
      </c>
      <c r="AC7" s="157">
        <v>-3</v>
      </c>
      <c r="AD7" s="157">
        <v>-3</v>
      </c>
      <c r="AE7" s="157">
        <v>-3</v>
      </c>
      <c r="AF7" s="157">
        <v>-3</v>
      </c>
      <c r="AG7" s="157" t="s">
        <v>143</v>
      </c>
      <c r="AH7" s="157" t="s">
        <v>143</v>
      </c>
      <c r="AI7" s="157" t="s">
        <v>143</v>
      </c>
      <c r="AJ7" s="157" t="s">
        <v>143</v>
      </c>
      <c r="AK7" s="157" t="s">
        <v>143</v>
      </c>
      <c r="AL7" s="157" t="s">
        <v>143</v>
      </c>
      <c r="AM7" s="157" t="s">
        <v>143</v>
      </c>
      <c r="AN7" s="157" t="s">
        <v>143</v>
      </c>
      <c r="AO7" s="157" t="s">
        <v>143</v>
      </c>
      <c r="AP7" s="157" t="s">
        <v>143</v>
      </c>
      <c r="AQ7" s="157" t="s">
        <v>143</v>
      </c>
      <c r="AR7" s="157" t="s">
        <v>143</v>
      </c>
      <c r="AS7" s="33" t="s">
        <v>143</v>
      </c>
    </row>
    <row r="8" spans="1:45" x14ac:dyDescent="0.2">
      <c r="A8" s="276"/>
      <c r="B8" s="231" t="str">
        <f t="shared" si="0"/>
        <v>5.2.6.2 / 7.2.6.2</v>
      </c>
      <c r="C8" s="231"/>
      <c r="D8" s="159" t="s">
        <v>88</v>
      </c>
      <c r="E8" s="159" t="str">
        <f t="shared" si="1"/>
        <v>N/A</v>
      </c>
      <c r="F8" s="159">
        <f t="shared" si="2"/>
        <v>3</v>
      </c>
      <c r="G8" s="159" t="s">
        <v>153</v>
      </c>
      <c r="H8" s="159">
        <v>1</v>
      </c>
      <c r="I8" s="168"/>
      <c r="J8" s="174" t="s">
        <v>164</v>
      </c>
      <c r="K8" s="175" t="s">
        <v>164</v>
      </c>
      <c r="M8" s="143" t="s">
        <v>330</v>
      </c>
      <c r="N8" s="144" t="s">
        <v>378</v>
      </c>
      <c r="O8" s="144" t="s">
        <v>308</v>
      </c>
      <c r="P8" s="144" t="s">
        <v>308</v>
      </c>
      <c r="Q8" s="144" t="s">
        <v>352</v>
      </c>
      <c r="R8" s="145" t="s">
        <v>364</v>
      </c>
      <c r="T8" s="72" t="s">
        <v>143</v>
      </c>
      <c r="U8" s="157" t="s">
        <v>143</v>
      </c>
      <c r="V8" s="157" t="s">
        <v>143</v>
      </c>
      <c r="W8" s="157" t="s">
        <v>143</v>
      </c>
      <c r="X8" s="157" t="s">
        <v>143</v>
      </c>
      <c r="Y8" s="157" t="s">
        <v>143</v>
      </c>
      <c r="Z8" s="157" t="s">
        <v>143</v>
      </c>
      <c r="AA8" s="157" t="s">
        <v>143</v>
      </c>
      <c r="AB8" s="157" t="s">
        <v>143</v>
      </c>
      <c r="AC8" s="157" t="s">
        <v>143</v>
      </c>
      <c r="AD8" s="157" t="s">
        <v>143</v>
      </c>
      <c r="AE8" s="157" t="s">
        <v>143</v>
      </c>
      <c r="AF8" s="157" t="s">
        <v>143</v>
      </c>
      <c r="AG8" s="157">
        <v>3</v>
      </c>
      <c r="AH8" s="157">
        <v>3</v>
      </c>
      <c r="AI8" s="157">
        <v>3</v>
      </c>
      <c r="AJ8" s="157">
        <v>3</v>
      </c>
      <c r="AK8" s="157">
        <v>3</v>
      </c>
      <c r="AL8" s="157">
        <v>3</v>
      </c>
      <c r="AM8" s="157">
        <v>3</v>
      </c>
      <c r="AN8" s="157">
        <v>3</v>
      </c>
      <c r="AO8" s="157">
        <v>3</v>
      </c>
      <c r="AP8" s="157">
        <v>3</v>
      </c>
      <c r="AQ8" s="157">
        <v>3</v>
      </c>
      <c r="AR8" s="157">
        <v>3</v>
      </c>
      <c r="AS8" s="33">
        <v>3</v>
      </c>
    </row>
    <row r="9" spans="1:45" x14ac:dyDescent="0.2">
      <c r="A9" s="276"/>
      <c r="B9" s="231" t="str">
        <f t="shared" si="0"/>
        <v>5.2.6.2 / 7.2.6.2</v>
      </c>
      <c r="C9" s="231"/>
      <c r="D9" s="159" t="s">
        <v>75</v>
      </c>
      <c r="E9" s="159" t="str">
        <f t="shared" si="1"/>
        <v>N/A</v>
      </c>
      <c r="F9" s="159" t="str">
        <f t="shared" si="2"/>
        <v>N/A</v>
      </c>
      <c r="G9" s="159" t="s">
        <v>153</v>
      </c>
      <c r="H9" s="159">
        <v>1</v>
      </c>
      <c r="I9" s="168"/>
      <c r="J9" s="174" t="s">
        <v>164</v>
      </c>
      <c r="K9" s="175" t="s">
        <v>164</v>
      </c>
      <c r="M9" s="143" t="s">
        <v>330</v>
      </c>
      <c r="N9" s="144" t="s">
        <v>378</v>
      </c>
      <c r="O9" s="144" t="s">
        <v>308</v>
      </c>
      <c r="P9" s="144" t="s">
        <v>308</v>
      </c>
      <c r="Q9" s="144" t="s">
        <v>352</v>
      </c>
      <c r="R9" s="145" t="s">
        <v>364</v>
      </c>
      <c r="T9" s="72" t="s">
        <v>143</v>
      </c>
      <c r="U9" s="157" t="s">
        <v>143</v>
      </c>
      <c r="V9" s="157" t="s">
        <v>143</v>
      </c>
      <c r="W9" s="157" t="s">
        <v>143</v>
      </c>
      <c r="X9" s="157" t="s">
        <v>143</v>
      </c>
      <c r="Y9" s="157" t="s">
        <v>143</v>
      </c>
      <c r="Z9" s="157" t="s">
        <v>143</v>
      </c>
      <c r="AA9" s="157" t="s">
        <v>143</v>
      </c>
      <c r="AB9" s="157" t="s">
        <v>143</v>
      </c>
      <c r="AC9" s="157" t="s">
        <v>143</v>
      </c>
      <c r="AD9" s="157" t="s">
        <v>143</v>
      </c>
      <c r="AE9" s="157" t="s">
        <v>143</v>
      </c>
      <c r="AF9" s="157" t="s">
        <v>143</v>
      </c>
      <c r="AG9" s="157" t="s">
        <v>143</v>
      </c>
      <c r="AH9" s="157" t="s">
        <v>143</v>
      </c>
      <c r="AI9" s="157" t="s">
        <v>143</v>
      </c>
      <c r="AJ9" s="157" t="s">
        <v>143</v>
      </c>
      <c r="AK9" s="157" t="s">
        <v>143</v>
      </c>
      <c r="AL9" s="157" t="s">
        <v>143</v>
      </c>
      <c r="AM9" s="157" t="s">
        <v>143</v>
      </c>
      <c r="AN9" s="157" t="s">
        <v>143</v>
      </c>
      <c r="AO9" s="157" t="s">
        <v>143</v>
      </c>
      <c r="AP9" s="157" t="s">
        <v>143</v>
      </c>
      <c r="AQ9" s="157" t="s">
        <v>143</v>
      </c>
      <c r="AR9" s="157" t="s">
        <v>143</v>
      </c>
      <c r="AS9" s="33" t="s">
        <v>143</v>
      </c>
    </row>
    <row r="10" spans="1:45" x14ac:dyDescent="0.2">
      <c r="A10" s="276"/>
      <c r="B10" s="231" t="str">
        <f t="shared" si="0"/>
        <v>5.2.6.2 / 7.2.6.2</v>
      </c>
      <c r="C10" s="231"/>
      <c r="D10" s="159" t="s">
        <v>89</v>
      </c>
      <c r="E10" s="159" t="str">
        <f t="shared" si="1"/>
        <v>N/A</v>
      </c>
      <c r="F10" s="159" t="str">
        <f t="shared" si="2"/>
        <v>N/A</v>
      </c>
      <c r="G10" s="159" t="s">
        <v>153</v>
      </c>
      <c r="H10" s="159">
        <v>1</v>
      </c>
      <c r="I10" s="168"/>
      <c r="J10" s="174" t="s">
        <v>164</v>
      </c>
      <c r="K10" s="175" t="s">
        <v>164</v>
      </c>
      <c r="M10" s="143" t="s">
        <v>330</v>
      </c>
      <c r="N10" s="144" t="s">
        <v>378</v>
      </c>
      <c r="O10" s="144" t="s">
        <v>308</v>
      </c>
      <c r="P10" s="144" t="s">
        <v>308</v>
      </c>
      <c r="Q10" s="144" t="s">
        <v>352</v>
      </c>
      <c r="R10" s="145" t="s">
        <v>364</v>
      </c>
      <c r="T10" s="72" t="s">
        <v>143</v>
      </c>
      <c r="U10" s="157" t="s">
        <v>143</v>
      </c>
      <c r="V10" s="157" t="s">
        <v>143</v>
      </c>
      <c r="W10" s="157" t="s">
        <v>143</v>
      </c>
      <c r="X10" s="157" t="s">
        <v>143</v>
      </c>
      <c r="Y10" s="157" t="s">
        <v>143</v>
      </c>
      <c r="Z10" s="157" t="s">
        <v>143</v>
      </c>
      <c r="AA10" s="157" t="s">
        <v>143</v>
      </c>
      <c r="AB10" s="157" t="s">
        <v>143</v>
      </c>
      <c r="AC10" s="157" t="s">
        <v>143</v>
      </c>
      <c r="AD10" s="157" t="s">
        <v>143</v>
      </c>
      <c r="AE10" s="157" t="s">
        <v>143</v>
      </c>
      <c r="AF10" s="157" t="s">
        <v>143</v>
      </c>
      <c r="AG10" s="157" t="s">
        <v>143</v>
      </c>
      <c r="AH10" s="157" t="s">
        <v>143</v>
      </c>
      <c r="AI10" s="157" t="s">
        <v>143</v>
      </c>
      <c r="AJ10" s="157" t="s">
        <v>143</v>
      </c>
      <c r="AK10" s="157" t="s">
        <v>143</v>
      </c>
      <c r="AL10" s="157" t="s">
        <v>143</v>
      </c>
      <c r="AM10" s="157" t="s">
        <v>143</v>
      </c>
      <c r="AN10" s="157" t="s">
        <v>143</v>
      </c>
      <c r="AO10" s="157" t="s">
        <v>143</v>
      </c>
      <c r="AP10" s="157" t="s">
        <v>143</v>
      </c>
      <c r="AQ10" s="157" t="s">
        <v>143</v>
      </c>
      <c r="AR10" s="157" t="s">
        <v>143</v>
      </c>
      <c r="AS10" s="33" t="s">
        <v>143</v>
      </c>
    </row>
    <row r="11" spans="1:45" x14ac:dyDescent="0.2">
      <c r="A11" s="276"/>
      <c r="B11" s="231" t="str">
        <f t="shared" si="0"/>
        <v>5.2.6.2 / 7.2.6.2</v>
      </c>
      <c r="C11" s="231"/>
      <c r="D11" s="159" t="s">
        <v>95</v>
      </c>
      <c r="E11" s="159" t="str">
        <f t="shared" si="1"/>
        <v>N/A</v>
      </c>
      <c r="F11" s="159" t="str">
        <f t="shared" si="2"/>
        <v>N/A</v>
      </c>
      <c r="G11" s="159" t="s">
        <v>153</v>
      </c>
      <c r="H11" s="159">
        <v>1</v>
      </c>
      <c r="I11" s="168"/>
      <c r="J11" s="174" t="s">
        <v>164</v>
      </c>
      <c r="K11" s="175" t="s">
        <v>164</v>
      </c>
      <c r="M11" s="143" t="s">
        <v>330</v>
      </c>
      <c r="N11" s="144" t="s">
        <v>378</v>
      </c>
      <c r="O11" s="144" t="s">
        <v>308</v>
      </c>
      <c r="P11" s="144" t="s">
        <v>308</v>
      </c>
      <c r="Q11" s="144" t="s">
        <v>352</v>
      </c>
      <c r="R11" s="145" t="s">
        <v>364</v>
      </c>
      <c r="T11" s="72" t="s">
        <v>143</v>
      </c>
      <c r="U11" s="157" t="s">
        <v>143</v>
      </c>
      <c r="V11" s="157" t="s">
        <v>143</v>
      </c>
      <c r="W11" s="157" t="s">
        <v>143</v>
      </c>
      <c r="X11" s="157" t="s">
        <v>143</v>
      </c>
      <c r="Y11" s="157" t="s">
        <v>143</v>
      </c>
      <c r="Z11" s="157" t="s">
        <v>143</v>
      </c>
      <c r="AA11" s="157" t="s">
        <v>143</v>
      </c>
      <c r="AB11" s="157" t="s">
        <v>143</v>
      </c>
      <c r="AC11" s="157" t="s">
        <v>143</v>
      </c>
      <c r="AD11" s="157" t="s">
        <v>143</v>
      </c>
      <c r="AE11" s="157" t="s">
        <v>143</v>
      </c>
      <c r="AF11" s="157" t="s">
        <v>143</v>
      </c>
      <c r="AG11" s="157" t="s">
        <v>143</v>
      </c>
      <c r="AH11" s="157" t="s">
        <v>143</v>
      </c>
      <c r="AI11" s="157" t="s">
        <v>143</v>
      </c>
      <c r="AJ11" s="157" t="s">
        <v>143</v>
      </c>
      <c r="AK11" s="157" t="s">
        <v>143</v>
      </c>
      <c r="AL11" s="157" t="s">
        <v>143</v>
      </c>
      <c r="AM11" s="157" t="s">
        <v>143</v>
      </c>
      <c r="AN11" s="157" t="s">
        <v>143</v>
      </c>
      <c r="AO11" s="157" t="s">
        <v>143</v>
      </c>
      <c r="AP11" s="157" t="s">
        <v>143</v>
      </c>
      <c r="AQ11" s="157" t="s">
        <v>143</v>
      </c>
      <c r="AR11" s="157" t="s">
        <v>143</v>
      </c>
      <c r="AS11" s="33" t="s">
        <v>143</v>
      </c>
    </row>
    <row r="12" spans="1:45" x14ac:dyDescent="0.2">
      <c r="A12" s="276"/>
      <c r="B12" s="231" t="str">
        <f t="shared" si="0"/>
        <v>5.2.6.2 / 7.2.6.2</v>
      </c>
      <c r="C12" s="231"/>
      <c r="D12" s="159" t="s">
        <v>91</v>
      </c>
      <c r="E12" s="159" t="str">
        <f t="shared" si="1"/>
        <v>N/A</v>
      </c>
      <c r="F12" s="159" t="str">
        <f t="shared" si="2"/>
        <v>N/A</v>
      </c>
      <c r="G12" s="159" t="s">
        <v>153</v>
      </c>
      <c r="H12" s="159">
        <v>1</v>
      </c>
      <c r="I12" s="168"/>
      <c r="J12" s="174" t="s">
        <v>164</v>
      </c>
      <c r="K12" s="175" t="s">
        <v>164</v>
      </c>
      <c r="M12" s="143" t="s">
        <v>330</v>
      </c>
      <c r="N12" s="144" t="s">
        <v>378</v>
      </c>
      <c r="O12" s="144" t="s">
        <v>308</v>
      </c>
      <c r="P12" s="144" t="s">
        <v>308</v>
      </c>
      <c r="Q12" s="144" t="s">
        <v>352</v>
      </c>
      <c r="R12" s="145" t="s">
        <v>364</v>
      </c>
      <c r="T12" s="72" t="s">
        <v>143</v>
      </c>
      <c r="U12" s="157" t="s">
        <v>143</v>
      </c>
      <c r="V12" s="157" t="s">
        <v>143</v>
      </c>
      <c r="W12" s="157" t="s">
        <v>143</v>
      </c>
      <c r="X12" s="157" t="s">
        <v>143</v>
      </c>
      <c r="Y12" s="157" t="s">
        <v>143</v>
      </c>
      <c r="Z12" s="157" t="s">
        <v>143</v>
      </c>
      <c r="AA12" s="157" t="s">
        <v>143</v>
      </c>
      <c r="AB12" s="157" t="s">
        <v>143</v>
      </c>
      <c r="AC12" s="157" t="s">
        <v>143</v>
      </c>
      <c r="AD12" s="157" t="s">
        <v>143</v>
      </c>
      <c r="AE12" s="157" t="s">
        <v>143</v>
      </c>
      <c r="AF12" s="157" t="s">
        <v>143</v>
      </c>
      <c r="AG12" s="157" t="s">
        <v>143</v>
      </c>
      <c r="AH12" s="157" t="s">
        <v>143</v>
      </c>
      <c r="AI12" s="157" t="s">
        <v>143</v>
      </c>
      <c r="AJ12" s="157" t="s">
        <v>143</v>
      </c>
      <c r="AK12" s="157" t="s">
        <v>143</v>
      </c>
      <c r="AL12" s="157" t="s">
        <v>143</v>
      </c>
      <c r="AM12" s="157" t="s">
        <v>143</v>
      </c>
      <c r="AN12" s="157" t="s">
        <v>143</v>
      </c>
      <c r="AO12" s="157" t="s">
        <v>143</v>
      </c>
      <c r="AP12" s="157" t="s">
        <v>143</v>
      </c>
      <c r="AQ12" s="157" t="s">
        <v>143</v>
      </c>
      <c r="AR12" s="157" t="s">
        <v>143</v>
      </c>
      <c r="AS12" s="33" t="s">
        <v>143</v>
      </c>
    </row>
    <row r="13" spans="1:45" x14ac:dyDescent="0.2">
      <c r="A13" s="276"/>
      <c r="B13" s="231" t="str">
        <f t="shared" si="0"/>
        <v>5.2.6.2 / 7.2.6.2</v>
      </c>
      <c r="C13" s="231"/>
      <c r="D13" s="159" t="s">
        <v>92</v>
      </c>
      <c r="E13" s="159" t="str">
        <f t="shared" si="1"/>
        <v>N/A</v>
      </c>
      <c r="F13" s="159" t="str">
        <f t="shared" si="2"/>
        <v>N/A</v>
      </c>
      <c r="G13" s="159" t="s">
        <v>153</v>
      </c>
      <c r="H13" s="159">
        <v>1</v>
      </c>
      <c r="I13" s="168"/>
      <c r="J13" s="174" t="s">
        <v>164</v>
      </c>
      <c r="K13" s="175" t="s">
        <v>164</v>
      </c>
      <c r="M13" s="143" t="s">
        <v>330</v>
      </c>
      <c r="N13" s="144" t="s">
        <v>378</v>
      </c>
      <c r="O13" s="144" t="s">
        <v>308</v>
      </c>
      <c r="P13" s="144" t="s">
        <v>308</v>
      </c>
      <c r="Q13" s="144" t="s">
        <v>352</v>
      </c>
      <c r="R13" s="145" t="s">
        <v>364</v>
      </c>
      <c r="T13" s="72" t="s">
        <v>143</v>
      </c>
      <c r="U13" s="157" t="s">
        <v>143</v>
      </c>
      <c r="V13" s="157" t="s">
        <v>143</v>
      </c>
      <c r="W13" s="157" t="s">
        <v>143</v>
      </c>
      <c r="X13" s="157" t="s">
        <v>143</v>
      </c>
      <c r="Y13" s="157" t="s">
        <v>143</v>
      </c>
      <c r="Z13" s="157" t="s">
        <v>143</v>
      </c>
      <c r="AA13" s="157" t="s">
        <v>143</v>
      </c>
      <c r="AB13" s="157" t="s">
        <v>143</v>
      </c>
      <c r="AC13" s="157" t="s">
        <v>143</v>
      </c>
      <c r="AD13" s="157" t="s">
        <v>143</v>
      </c>
      <c r="AE13" s="157" t="s">
        <v>143</v>
      </c>
      <c r="AF13" s="157" t="s">
        <v>143</v>
      </c>
      <c r="AG13" s="157" t="s">
        <v>143</v>
      </c>
      <c r="AH13" s="157" t="s">
        <v>143</v>
      </c>
      <c r="AI13" s="157" t="s">
        <v>143</v>
      </c>
      <c r="AJ13" s="157" t="s">
        <v>143</v>
      </c>
      <c r="AK13" s="157" t="s">
        <v>143</v>
      </c>
      <c r="AL13" s="157" t="s">
        <v>143</v>
      </c>
      <c r="AM13" s="157" t="s">
        <v>143</v>
      </c>
      <c r="AN13" s="157" t="s">
        <v>143</v>
      </c>
      <c r="AO13" s="157" t="s">
        <v>143</v>
      </c>
      <c r="AP13" s="157" t="s">
        <v>143</v>
      </c>
      <c r="AQ13" s="157" t="s">
        <v>143</v>
      </c>
      <c r="AR13" s="157" t="s">
        <v>143</v>
      </c>
      <c r="AS13" s="33" t="s">
        <v>143</v>
      </c>
    </row>
    <row r="14" spans="1:45" x14ac:dyDescent="0.2">
      <c r="A14" s="276"/>
      <c r="B14" s="231" t="str">
        <f t="shared" si="0"/>
        <v>5.2.6.2 / 7.2.6.2</v>
      </c>
      <c r="C14" s="231"/>
      <c r="D14" s="159" t="s">
        <v>82</v>
      </c>
      <c r="E14" s="159" t="str">
        <f t="shared" si="1"/>
        <v>N/A</v>
      </c>
      <c r="F14" s="159" t="str">
        <f t="shared" si="2"/>
        <v>N/A</v>
      </c>
      <c r="G14" s="159" t="s">
        <v>153</v>
      </c>
      <c r="H14" s="159">
        <v>1</v>
      </c>
      <c r="I14" s="168"/>
      <c r="J14" s="174" t="s">
        <v>164</v>
      </c>
      <c r="K14" s="175" t="s">
        <v>164</v>
      </c>
      <c r="M14" s="143" t="s">
        <v>330</v>
      </c>
      <c r="N14" s="144" t="s">
        <v>378</v>
      </c>
      <c r="O14" s="144" t="s">
        <v>308</v>
      </c>
      <c r="P14" s="144" t="s">
        <v>308</v>
      </c>
      <c r="Q14" s="144" t="s">
        <v>352</v>
      </c>
      <c r="R14" s="145" t="s">
        <v>364</v>
      </c>
      <c r="T14" s="72" t="s">
        <v>143</v>
      </c>
      <c r="U14" s="157" t="s">
        <v>143</v>
      </c>
      <c r="V14" s="157" t="s">
        <v>143</v>
      </c>
      <c r="W14" s="157" t="s">
        <v>143</v>
      </c>
      <c r="X14" s="157" t="s">
        <v>143</v>
      </c>
      <c r="Y14" s="157" t="s">
        <v>143</v>
      </c>
      <c r="Z14" s="157" t="s">
        <v>143</v>
      </c>
      <c r="AA14" s="157" t="s">
        <v>143</v>
      </c>
      <c r="AB14" s="157" t="s">
        <v>143</v>
      </c>
      <c r="AC14" s="157" t="s">
        <v>143</v>
      </c>
      <c r="AD14" s="157" t="s">
        <v>143</v>
      </c>
      <c r="AE14" s="157" t="s">
        <v>143</v>
      </c>
      <c r="AF14" s="157" t="s">
        <v>143</v>
      </c>
      <c r="AG14" s="157" t="s">
        <v>143</v>
      </c>
      <c r="AH14" s="157" t="s">
        <v>143</v>
      </c>
      <c r="AI14" s="157" t="s">
        <v>143</v>
      </c>
      <c r="AJ14" s="157" t="s">
        <v>143</v>
      </c>
      <c r="AK14" s="157" t="s">
        <v>143</v>
      </c>
      <c r="AL14" s="157" t="s">
        <v>143</v>
      </c>
      <c r="AM14" s="157" t="s">
        <v>143</v>
      </c>
      <c r="AN14" s="157" t="s">
        <v>143</v>
      </c>
      <c r="AO14" s="157" t="s">
        <v>143</v>
      </c>
      <c r="AP14" s="157" t="s">
        <v>143</v>
      </c>
      <c r="AQ14" s="157" t="s">
        <v>143</v>
      </c>
      <c r="AR14" s="157" t="s">
        <v>143</v>
      </c>
      <c r="AS14" s="33" t="s">
        <v>143</v>
      </c>
    </row>
    <row r="15" spans="1:45" x14ac:dyDescent="0.2">
      <c r="A15" s="276" t="s">
        <v>301</v>
      </c>
      <c r="B15" s="231" t="str">
        <f t="shared" si="0"/>
        <v>5.3.3 / 7.3.3</v>
      </c>
      <c r="C15" s="231" t="s">
        <v>313</v>
      </c>
      <c r="D15" s="159"/>
      <c r="E15" s="159" t="str">
        <f t="shared" si="1"/>
        <v>N/A</v>
      </c>
      <c r="F15" s="159">
        <f t="shared" si="2"/>
        <v>-64</v>
      </c>
      <c r="G15" s="159" t="s">
        <v>281</v>
      </c>
      <c r="H15" s="159">
        <v>1</v>
      </c>
      <c r="I15" s="168"/>
      <c r="J15" s="174" t="s">
        <v>164</v>
      </c>
      <c r="K15" s="175" t="s">
        <v>164</v>
      </c>
      <c r="M15" s="143" t="s">
        <v>303</v>
      </c>
      <c r="N15" s="144" t="s">
        <v>393</v>
      </c>
      <c r="O15" s="144" t="s">
        <v>337</v>
      </c>
      <c r="P15" s="144" t="s">
        <v>338</v>
      </c>
      <c r="Q15" s="144" t="s">
        <v>353</v>
      </c>
      <c r="R15" s="145" t="s">
        <v>365</v>
      </c>
      <c r="T15" s="72" t="s">
        <v>143</v>
      </c>
      <c r="U15" s="157" t="s">
        <v>143</v>
      </c>
      <c r="V15" s="157" t="s">
        <v>143</v>
      </c>
      <c r="W15" s="157" t="s">
        <v>143</v>
      </c>
      <c r="X15" s="157" t="s">
        <v>143</v>
      </c>
      <c r="Y15" s="157" t="s">
        <v>143</v>
      </c>
      <c r="Z15" s="157" t="s">
        <v>143</v>
      </c>
      <c r="AA15" s="157" t="s">
        <v>143</v>
      </c>
      <c r="AB15" s="157" t="s">
        <v>143</v>
      </c>
      <c r="AC15" s="157" t="s">
        <v>143</v>
      </c>
      <c r="AD15" s="157" t="s">
        <v>143</v>
      </c>
      <c r="AE15" s="157" t="s">
        <v>143</v>
      </c>
      <c r="AF15" s="157" t="s">
        <v>143</v>
      </c>
      <c r="AG15" s="157">
        <v>-64</v>
      </c>
      <c r="AH15" s="157">
        <v>-64</v>
      </c>
      <c r="AI15" s="157">
        <v>-64</v>
      </c>
      <c r="AJ15" s="157">
        <v>-64</v>
      </c>
      <c r="AK15" s="157">
        <v>-64</v>
      </c>
      <c r="AL15" s="157">
        <v>-64</v>
      </c>
      <c r="AM15" s="157">
        <v>-64</v>
      </c>
      <c r="AN15" s="157">
        <v>-64</v>
      </c>
      <c r="AO15" s="157">
        <v>-64</v>
      </c>
      <c r="AP15" s="157">
        <v>-64</v>
      </c>
      <c r="AQ15" s="157">
        <v>-64</v>
      </c>
      <c r="AR15" s="157">
        <v>-64</v>
      </c>
      <c r="AS15" s="33">
        <v>-64</v>
      </c>
    </row>
    <row r="16" spans="1:45" x14ac:dyDescent="0.2">
      <c r="A16" s="276"/>
      <c r="B16" s="231" t="str">
        <f t="shared" si="0"/>
        <v>5.3.3 / 7.3.3</v>
      </c>
      <c r="C16" s="231"/>
      <c r="D16" s="159" t="s">
        <v>279</v>
      </c>
      <c r="E16" s="159" t="str">
        <f t="shared" si="1"/>
        <v>N/A</v>
      </c>
      <c r="F16" s="159">
        <f t="shared" si="2"/>
        <v>-74</v>
      </c>
      <c r="G16" s="161" t="s">
        <v>281</v>
      </c>
      <c r="H16" s="161">
        <v>1</v>
      </c>
      <c r="I16" s="168"/>
      <c r="J16" s="174" t="s">
        <v>164</v>
      </c>
      <c r="K16" s="175" t="s">
        <v>164</v>
      </c>
      <c r="M16" s="143" t="s">
        <v>302</v>
      </c>
      <c r="N16" s="144" t="s">
        <v>393</v>
      </c>
      <c r="O16" s="144" t="s">
        <v>337</v>
      </c>
      <c r="P16" s="144" t="s">
        <v>338</v>
      </c>
      <c r="Q16" s="144" t="s">
        <v>353</v>
      </c>
      <c r="R16" s="145" t="s">
        <v>365</v>
      </c>
      <c r="T16" s="72" t="s">
        <v>143</v>
      </c>
      <c r="U16" s="157" t="s">
        <v>143</v>
      </c>
      <c r="V16" s="157" t="s">
        <v>143</v>
      </c>
      <c r="W16" s="157" t="s">
        <v>143</v>
      </c>
      <c r="X16" s="157" t="s">
        <v>143</v>
      </c>
      <c r="Y16" s="157" t="s">
        <v>143</v>
      </c>
      <c r="Z16" s="157" t="s">
        <v>143</v>
      </c>
      <c r="AA16" s="157" t="s">
        <v>143</v>
      </c>
      <c r="AB16" s="157" t="s">
        <v>143</v>
      </c>
      <c r="AC16" s="157" t="s">
        <v>143</v>
      </c>
      <c r="AD16" s="157" t="s">
        <v>143</v>
      </c>
      <c r="AE16" s="157" t="s">
        <v>143</v>
      </c>
      <c r="AF16" s="157" t="s">
        <v>143</v>
      </c>
      <c r="AG16" s="157">
        <v>-74</v>
      </c>
      <c r="AH16" s="157">
        <v>-74</v>
      </c>
      <c r="AI16" s="157">
        <v>-74</v>
      </c>
      <c r="AJ16" s="157">
        <v>-74</v>
      </c>
      <c r="AK16" s="157">
        <v>-74</v>
      </c>
      <c r="AL16" s="157">
        <v>-74</v>
      </c>
      <c r="AM16" s="157">
        <v>-74</v>
      </c>
      <c r="AN16" s="157">
        <v>-74</v>
      </c>
      <c r="AO16" s="157">
        <v>-74</v>
      </c>
      <c r="AP16" s="157">
        <v>-74</v>
      </c>
      <c r="AQ16" s="157">
        <v>-74</v>
      </c>
      <c r="AR16" s="157">
        <v>-74</v>
      </c>
      <c r="AS16" s="33">
        <v>-74</v>
      </c>
    </row>
    <row r="17" spans="1:45" x14ac:dyDescent="0.2">
      <c r="A17" s="276"/>
      <c r="B17" s="231" t="str">
        <f t="shared" si="0"/>
        <v>5.3.4 / 7.3.4</v>
      </c>
      <c r="C17" s="231" t="s">
        <v>152</v>
      </c>
      <c r="D17" s="159" t="s">
        <v>74</v>
      </c>
      <c r="E17" s="159" t="str">
        <f t="shared" si="1"/>
        <v>N/A</v>
      </c>
      <c r="F17" s="159">
        <f t="shared" si="2"/>
        <v>-61</v>
      </c>
      <c r="G17" s="161" t="s">
        <v>317</v>
      </c>
      <c r="H17" s="161">
        <v>1</v>
      </c>
      <c r="I17" s="168"/>
      <c r="J17" s="174" t="s">
        <v>164</v>
      </c>
      <c r="K17" s="175" t="s">
        <v>164</v>
      </c>
      <c r="M17" s="143" t="s">
        <v>331</v>
      </c>
      <c r="N17" s="144" t="s">
        <v>326</v>
      </c>
      <c r="O17" s="144" t="s">
        <v>339</v>
      </c>
      <c r="P17" s="144" t="s">
        <v>340</v>
      </c>
      <c r="Q17" s="144" t="s">
        <v>354</v>
      </c>
      <c r="R17" s="145" t="s">
        <v>367</v>
      </c>
      <c r="T17" s="72" t="s">
        <v>143</v>
      </c>
      <c r="U17" s="157" t="s">
        <v>143</v>
      </c>
      <c r="V17" s="157" t="s">
        <v>143</v>
      </c>
      <c r="W17" s="157" t="s">
        <v>143</v>
      </c>
      <c r="X17" s="157" t="s">
        <v>143</v>
      </c>
      <c r="Y17" s="157" t="s">
        <v>143</v>
      </c>
      <c r="Z17" s="157" t="s">
        <v>143</v>
      </c>
      <c r="AA17" s="157" t="s">
        <v>143</v>
      </c>
      <c r="AB17" s="157" t="s">
        <v>143</v>
      </c>
      <c r="AC17" s="157" t="s">
        <v>143</v>
      </c>
      <c r="AD17" s="157" t="s">
        <v>143</v>
      </c>
      <c r="AE17" s="157" t="s">
        <v>143</v>
      </c>
      <c r="AF17" s="157" t="s">
        <v>143</v>
      </c>
      <c r="AG17" s="157">
        <v>-61</v>
      </c>
      <c r="AH17" s="157">
        <v>-61</v>
      </c>
      <c r="AI17" s="157">
        <v>-61</v>
      </c>
      <c r="AJ17" s="157">
        <v>-61</v>
      </c>
      <c r="AK17" s="157">
        <v>-61</v>
      </c>
      <c r="AL17" s="157">
        <v>-61</v>
      </c>
      <c r="AM17" s="157">
        <v>-61</v>
      </c>
      <c r="AN17" s="157">
        <v>-61</v>
      </c>
      <c r="AO17" s="157">
        <v>-61</v>
      </c>
      <c r="AP17" s="157">
        <v>-61</v>
      </c>
      <c r="AQ17" s="157">
        <v>-61</v>
      </c>
      <c r="AR17" s="157">
        <v>-61</v>
      </c>
      <c r="AS17" s="33">
        <v>-61</v>
      </c>
    </row>
    <row r="18" spans="1:45" x14ac:dyDescent="0.2">
      <c r="A18" s="276"/>
      <c r="B18" s="231" t="str">
        <f t="shared" si="0"/>
        <v>5.3.4 / 7.3.4</v>
      </c>
      <c r="C18" s="231"/>
      <c r="D18" s="161" t="s">
        <v>85</v>
      </c>
      <c r="E18" s="159" t="str">
        <f t="shared" si="1"/>
        <v>N/A</v>
      </c>
      <c r="F18" s="159">
        <f t="shared" si="2"/>
        <v>-64</v>
      </c>
      <c r="G18" s="161" t="s">
        <v>316</v>
      </c>
      <c r="H18" s="161">
        <v>1</v>
      </c>
      <c r="I18" s="168"/>
      <c r="J18" s="174" t="s">
        <v>164</v>
      </c>
      <c r="K18" s="175" t="s">
        <v>164</v>
      </c>
      <c r="M18" s="143" t="s">
        <v>331</v>
      </c>
      <c r="N18" s="144" t="s">
        <v>326</v>
      </c>
      <c r="O18" s="144" t="s">
        <v>339</v>
      </c>
      <c r="P18" s="144" t="s">
        <v>340</v>
      </c>
      <c r="Q18" s="144" t="s">
        <v>354</v>
      </c>
      <c r="R18" s="145" t="s">
        <v>367</v>
      </c>
      <c r="T18" s="72" t="s">
        <v>143</v>
      </c>
      <c r="U18" s="157" t="s">
        <v>143</v>
      </c>
      <c r="V18" s="157" t="s">
        <v>143</v>
      </c>
      <c r="W18" s="157" t="s">
        <v>143</v>
      </c>
      <c r="X18" s="157" t="s">
        <v>143</v>
      </c>
      <c r="Y18" s="157" t="s">
        <v>143</v>
      </c>
      <c r="Z18" s="157" t="s">
        <v>143</v>
      </c>
      <c r="AA18" s="157" t="s">
        <v>143</v>
      </c>
      <c r="AB18" s="157" t="s">
        <v>143</v>
      </c>
      <c r="AC18" s="157" t="s">
        <v>143</v>
      </c>
      <c r="AD18" s="157" t="s">
        <v>143</v>
      </c>
      <c r="AE18" s="157" t="s">
        <v>143</v>
      </c>
      <c r="AF18" s="157" t="s">
        <v>143</v>
      </c>
      <c r="AG18" s="157">
        <v>-64</v>
      </c>
      <c r="AH18" s="157">
        <v>-64</v>
      </c>
      <c r="AI18" s="157">
        <v>-64</v>
      </c>
      <c r="AJ18" s="157">
        <v>-64</v>
      </c>
      <c r="AK18" s="157">
        <v>-64</v>
      </c>
      <c r="AL18" s="157">
        <v>-64</v>
      </c>
      <c r="AM18" s="157">
        <v>-64</v>
      </c>
      <c r="AN18" s="157">
        <v>-64</v>
      </c>
      <c r="AO18" s="157">
        <v>-64</v>
      </c>
      <c r="AP18" s="157">
        <v>-64</v>
      </c>
      <c r="AQ18" s="157">
        <v>-64</v>
      </c>
      <c r="AR18" s="157">
        <v>-64</v>
      </c>
      <c r="AS18" s="33">
        <v>-64</v>
      </c>
    </row>
    <row r="19" spans="1:45" x14ac:dyDescent="0.2">
      <c r="A19" s="276"/>
      <c r="B19" s="231" t="str">
        <f t="shared" si="0"/>
        <v>5.3.4 / 7.3.4</v>
      </c>
      <c r="C19" s="231"/>
      <c r="D19" s="161" t="s">
        <v>279</v>
      </c>
      <c r="E19" s="159" t="str">
        <f t="shared" si="1"/>
        <v>N/A</v>
      </c>
      <c r="F19" s="159">
        <f t="shared" si="2"/>
        <v>-67</v>
      </c>
      <c r="G19" s="161" t="s">
        <v>316</v>
      </c>
      <c r="H19" s="161">
        <v>1</v>
      </c>
      <c r="I19" s="168"/>
      <c r="J19" s="174" t="s">
        <v>164</v>
      </c>
      <c r="K19" s="175" t="s">
        <v>164</v>
      </c>
      <c r="M19" s="143" t="s">
        <v>331</v>
      </c>
      <c r="N19" s="144" t="s">
        <v>326</v>
      </c>
      <c r="O19" s="144" t="s">
        <v>339</v>
      </c>
      <c r="P19" s="144" t="s">
        <v>340</v>
      </c>
      <c r="Q19" s="144" t="s">
        <v>354</v>
      </c>
      <c r="R19" s="145" t="s">
        <v>367</v>
      </c>
      <c r="T19" s="72" t="s">
        <v>143</v>
      </c>
      <c r="U19" s="157" t="s">
        <v>143</v>
      </c>
      <c r="V19" s="157" t="s">
        <v>143</v>
      </c>
      <c r="W19" s="157" t="s">
        <v>143</v>
      </c>
      <c r="X19" s="157" t="s">
        <v>143</v>
      </c>
      <c r="Y19" s="157" t="s">
        <v>143</v>
      </c>
      <c r="Z19" s="157" t="s">
        <v>143</v>
      </c>
      <c r="AA19" s="157" t="s">
        <v>143</v>
      </c>
      <c r="AB19" s="157" t="s">
        <v>143</v>
      </c>
      <c r="AC19" s="157" t="s">
        <v>143</v>
      </c>
      <c r="AD19" s="157" t="s">
        <v>143</v>
      </c>
      <c r="AE19" s="157" t="s">
        <v>143</v>
      </c>
      <c r="AF19" s="157" t="s">
        <v>143</v>
      </c>
      <c r="AG19" s="157">
        <v>-67</v>
      </c>
      <c r="AH19" s="157">
        <v>-67</v>
      </c>
      <c r="AI19" s="157">
        <v>-67</v>
      </c>
      <c r="AJ19" s="157">
        <v>-67</v>
      </c>
      <c r="AK19" s="157">
        <v>-67</v>
      </c>
      <c r="AL19" s="157">
        <v>-67</v>
      </c>
      <c r="AM19" s="157">
        <v>-67</v>
      </c>
      <c r="AN19" s="157">
        <v>-67</v>
      </c>
      <c r="AO19" s="157">
        <v>-67</v>
      </c>
      <c r="AP19" s="157">
        <v>-67</v>
      </c>
      <c r="AQ19" s="157">
        <v>-67</v>
      </c>
      <c r="AR19" s="157">
        <v>-67</v>
      </c>
      <c r="AS19" s="33">
        <v>-67</v>
      </c>
    </row>
    <row r="20" spans="1:45" x14ac:dyDescent="0.2">
      <c r="A20" s="278" t="s">
        <v>12</v>
      </c>
      <c r="B20" s="161" t="str">
        <f t="shared" si="0"/>
        <v>5.4.7 / 7.4.7</v>
      </c>
      <c r="C20" s="159" t="s">
        <v>9</v>
      </c>
      <c r="D20" s="161"/>
      <c r="E20" s="159">
        <f t="shared" si="1"/>
        <v>0</v>
      </c>
      <c r="F20" s="159" t="str">
        <f t="shared" si="2"/>
        <v>N/A</v>
      </c>
      <c r="G20" s="161" t="s">
        <v>49</v>
      </c>
      <c r="H20" s="161">
        <f>IF(VCBW="AMR_WB",2,1)</f>
        <v>1</v>
      </c>
      <c r="I20" s="168"/>
      <c r="J20" s="174" t="s">
        <v>164</v>
      </c>
      <c r="K20" s="175" t="s">
        <v>164</v>
      </c>
      <c r="M20" s="143" t="s">
        <v>323</v>
      </c>
      <c r="N20" s="144" t="s">
        <v>327</v>
      </c>
      <c r="O20" s="144" t="s">
        <v>318</v>
      </c>
      <c r="P20" s="144" t="s">
        <v>319</v>
      </c>
      <c r="Q20" s="144" t="s">
        <v>355</v>
      </c>
      <c r="R20" s="145" t="s">
        <v>368</v>
      </c>
      <c r="T20" s="72">
        <v>0</v>
      </c>
      <c r="U20" s="157">
        <v>0</v>
      </c>
      <c r="V20" s="157">
        <v>0</v>
      </c>
      <c r="W20" s="157">
        <v>0</v>
      </c>
      <c r="X20" s="157">
        <v>0</v>
      </c>
      <c r="Y20" s="157">
        <v>0</v>
      </c>
      <c r="Z20" s="157">
        <v>0</v>
      </c>
      <c r="AA20" s="157">
        <v>0</v>
      </c>
      <c r="AB20" s="157">
        <v>0</v>
      </c>
      <c r="AC20" s="157">
        <v>0</v>
      </c>
      <c r="AD20" s="157">
        <v>0</v>
      </c>
      <c r="AE20" s="157">
        <v>0</v>
      </c>
      <c r="AF20" s="157">
        <v>0</v>
      </c>
      <c r="AG20" s="157" t="s">
        <v>143</v>
      </c>
      <c r="AH20" s="157" t="s">
        <v>143</v>
      </c>
      <c r="AI20" s="157" t="s">
        <v>143</v>
      </c>
      <c r="AJ20" s="157" t="s">
        <v>143</v>
      </c>
      <c r="AK20" s="157" t="s">
        <v>143</v>
      </c>
      <c r="AL20" s="157" t="s">
        <v>143</v>
      </c>
      <c r="AM20" s="157" t="s">
        <v>143</v>
      </c>
      <c r="AN20" s="157" t="s">
        <v>143</v>
      </c>
      <c r="AO20" s="157" t="s">
        <v>143</v>
      </c>
      <c r="AP20" s="157" t="s">
        <v>143</v>
      </c>
      <c r="AQ20" s="157" t="s">
        <v>143</v>
      </c>
      <c r="AR20" s="157" t="s">
        <v>143</v>
      </c>
      <c r="AS20" s="33" t="s">
        <v>143</v>
      </c>
    </row>
    <row r="21" spans="1:45" x14ac:dyDescent="0.2">
      <c r="A21" s="278"/>
      <c r="B21" s="161" t="str">
        <f t="shared" si="0"/>
        <v>5.4.8 / 7.4.8</v>
      </c>
      <c r="C21" s="159" t="s">
        <v>10</v>
      </c>
      <c r="D21" s="159" t="s">
        <v>86</v>
      </c>
      <c r="E21" s="159">
        <f t="shared" si="1"/>
        <v>0</v>
      </c>
      <c r="F21" s="159" t="str">
        <f t="shared" si="2"/>
        <v>N/A</v>
      </c>
      <c r="G21" s="161" t="s">
        <v>49</v>
      </c>
      <c r="H21" s="161">
        <v>1</v>
      </c>
      <c r="I21" s="168"/>
      <c r="J21" s="174" t="s">
        <v>164</v>
      </c>
      <c r="K21" s="175" t="s">
        <v>164</v>
      </c>
      <c r="M21" s="143" t="s">
        <v>332</v>
      </c>
      <c r="N21" s="144" t="s">
        <v>328</v>
      </c>
      <c r="O21" s="144" t="s">
        <v>320</v>
      </c>
      <c r="P21" s="144" t="s">
        <v>321</v>
      </c>
      <c r="Q21" s="144" t="s">
        <v>356</v>
      </c>
      <c r="R21" s="145" t="s">
        <v>369</v>
      </c>
      <c r="T21" s="72">
        <v>0</v>
      </c>
      <c r="U21" s="157">
        <v>0</v>
      </c>
      <c r="V21" s="157">
        <v>0</v>
      </c>
      <c r="W21" s="157">
        <v>0</v>
      </c>
      <c r="X21" s="157">
        <v>0</v>
      </c>
      <c r="Y21" s="157">
        <v>0</v>
      </c>
      <c r="Z21" s="157">
        <v>0</v>
      </c>
      <c r="AA21" s="157">
        <v>0</v>
      </c>
      <c r="AB21" s="157">
        <v>0</v>
      </c>
      <c r="AC21" s="157">
        <v>0</v>
      </c>
      <c r="AD21" s="157">
        <v>0</v>
      </c>
      <c r="AE21" s="157">
        <v>0</v>
      </c>
      <c r="AF21" s="157">
        <v>0</v>
      </c>
      <c r="AG21" s="157" t="s">
        <v>143</v>
      </c>
      <c r="AH21" s="157" t="s">
        <v>143</v>
      </c>
      <c r="AI21" s="157" t="s">
        <v>143</v>
      </c>
      <c r="AJ21" s="157" t="s">
        <v>143</v>
      </c>
      <c r="AK21" s="157" t="s">
        <v>143</v>
      </c>
      <c r="AL21" s="157" t="s">
        <v>143</v>
      </c>
      <c r="AM21" s="157" t="s">
        <v>143</v>
      </c>
      <c r="AN21" s="157" t="s">
        <v>143</v>
      </c>
      <c r="AO21" s="157" t="s">
        <v>143</v>
      </c>
      <c r="AP21" s="157" t="s">
        <v>143</v>
      </c>
      <c r="AQ21" s="157" t="s">
        <v>143</v>
      </c>
      <c r="AR21" s="157" t="s">
        <v>143</v>
      </c>
      <c r="AS21" s="33" t="s">
        <v>143</v>
      </c>
    </row>
    <row r="22" spans="1:45" x14ac:dyDescent="0.2">
      <c r="A22" s="165" t="s">
        <v>15</v>
      </c>
      <c r="B22" s="161" t="str">
        <f t="shared" si="0"/>
        <v>5.7.6 / 7.7.5</v>
      </c>
      <c r="C22" s="159" t="s">
        <v>16</v>
      </c>
      <c r="D22" s="159" t="s">
        <v>86</v>
      </c>
      <c r="E22" s="159">
        <f t="shared" si="1"/>
        <v>55</v>
      </c>
      <c r="F22" s="159" t="str">
        <f t="shared" si="2"/>
        <v>N/A</v>
      </c>
      <c r="G22" s="161" t="s">
        <v>49</v>
      </c>
      <c r="H22" s="161">
        <v>1</v>
      </c>
      <c r="I22" s="168"/>
      <c r="J22" s="174" t="s">
        <v>164</v>
      </c>
      <c r="K22" s="175" t="s">
        <v>164</v>
      </c>
      <c r="M22" s="143" t="s">
        <v>333</v>
      </c>
      <c r="N22" s="144" t="s">
        <v>380</v>
      </c>
      <c r="O22" s="144" t="s">
        <v>395</v>
      </c>
      <c r="P22" s="144" t="s">
        <v>324</v>
      </c>
      <c r="Q22" s="144" t="s">
        <v>358</v>
      </c>
      <c r="R22" s="145" t="s">
        <v>370</v>
      </c>
      <c r="T22" s="72">
        <v>55</v>
      </c>
      <c r="U22" s="157">
        <v>55</v>
      </c>
      <c r="V22" s="157">
        <v>55</v>
      </c>
      <c r="W22" s="157">
        <v>55</v>
      </c>
      <c r="X22" s="157">
        <v>55</v>
      </c>
      <c r="Y22" s="157">
        <v>55</v>
      </c>
      <c r="Z22" s="157">
        <v>55</v>
      </c>
      <c r="AA22" s="157">
        <v>55</v>
      </c>
      <c r="AB22" s="157">
        <v>55</v>
      </c>
      <c r="AC22" s="157">
        <v>55</v>
      </c>
      <c r="AD22" s="157">
        <v>55</v>
      </c>
      <c r="AE22" s="157">
        <v>55</v>
      </c>
      <c r="AF22" s="157">
        <v>55</v>
      </c>
      <c r="AG22" s="157" t="s">
        <v>143</v>
      </c>
      <c r="AH22" s="157" t="s">
        <v>143</v>
      </c>
      <c r="AI22" s="157" t="s">
        <v>143</v>
      </c>
      <c r="AJ22" s="157" t="s">
        <v>143</v>
      </c>
      <c r="AK22" s="157" t="s">
        <v>143</v>
      </c>
      <c r="AL22" s="157" t="s">
        <v>143</v>
      </c>
      <c r="AM22" s="157" t="s">
        <v>143</v>
      </c>
      <c r="AN22" s="157" t="s">
        <v>143</v>
      </c>
      <c r="AO22" s="157" t="s">
        <v>143</v>
      </c>
      <c r="AP22" s="157" t="s">
        <v>143</v>
      </c>
      <c r="AQ22" s="157" t="s">
        <v>143</v>
      </c>
      <c r="AR22" s="157" t="s">
        <v>143</v>
      </c>
      <c r="AS22" s="33" t="s">
        <v>143</v>
      </c>
    </row>
    <row r="23" spans="1:45" x14ac:dyDescent="0.2">
      <c r="A23" s="278" t="s">
        <v>17</v>
      </c>
      <c r="B23" s="263" t="str">
        <f t="shared" si="0"/>
        <v>5.8.3 / 7.8.1</v>
      </c>
      <c r="C23" s="159" t="s">
        <v>230</v>
      </c>
      <c r="D23" s="159"/>
      <c r="E23" s="159" t="str">
        <f t="shared" si="1"/>
        <v>mask</v>
      </c>
      <c r="F23" s="159" t="str">
        <f t="shared" si="2"/>
        <v>N/A</v>
      </c>
      <c r="G23" s="161" t="s">
        <v>21</v>
      </c>
      <c r="H23" s="161">
        <v>1</v>
      </c>
      <c r="I23" s="180"/>
      <c r="J23" s="184" t="s">
        <v>164</v>
      </c>
      <c r="K23" s="185" t="s">
        <v>164</v>
      </c>
      <c r="M23" s="143" t="s">
        <v>335</v>
      </c>
      <c r="N23" s="144" t="s">
        <v>382</v>
      </c>
      <c r="O23" s="144" t="s">
        <v>396</v>
      </c>
      <c r="P23" s="144" t="s">
        <v>341</v>
      </c>
      <c r="Q23" s="144" t="s">
        <v>360</v>
      </c>
      <c r="R23" s="145" t="s">
        <v>371</v>
      </c>
      <c r="T23" s="72" t="s">
        <v>144</v>
      </c>
      <c r="U23" s="157" t="s">
        <v>144</v>
      </c>
      <c r="V23" s="157" t="s">
        <v>144</v>
      </c>
      <c r="W23" s="157" t="s">
        <v>144</v>
      </c>
      <c r="X23" s="157" t="s">
        <v>144</v>
      </c>
      <c r="Y23" s="157" t="s">
        <v>144</v>
      </c>
      <c r="Z23" s="157" t="s">
        <v>144</v>
      </c>
      <c r="AA23" s="157" t="s">
        <v>144</v>
      </c>
      <c r="AB23" s="157" t="s">
        <v>144</v>
      </c>
      <c r="AC23" s="157" t="s">
        <v>144</v>
      </c>
      <c r="AD23" s="157" t="s">
        <v>144</v>
      </c>
      <c r="AE23" s="157" t="s">
        <v>144</v>
      </c>
      <c r="AF23" s="157" t="s">
        <v>144</v>
      </c>
      <c r="AG23" s="157" t="s">
        <v>143</v>
      </c>
      <c r="AH23" s="157" t="s">
        <v>143</v>
      </c>
      <c r="AI23" s="157" t="s">
        <v>143</v>
      </c>
      <c r="AJ23" s="157" t="s">
        <v>143</v>
      </c>
      <c r="AK23" s="157" t="s">
        <v>143</v>
      </c>
      <c r="AL23" s="157" t="s">
        <v>143</v>
      </c>
      <c r="AM23" s="157" t="s">
        <v>143</v>
      </c>
      <c r="AN23" s="157" t="s">
        <v>143</v>
      </c>
      <c r="AO23" s="157" t="s">
        <v>143</v>
      </c>
      <c r="AP23" s="157" t="s">
        <v>143</v>
      </c>
      <c r="AQ23" s="157" t="s">
        <v>143</v>
      </c>
      <c r="AR23" s="157" t="s">
        <v>143</v>
      </c>
      <c r="AS23" s="33" t="s">
        <v>143</v>
      </c>
    </row>
    <row r="24" spans="1:45" x14ac:dyDescent="0.2">
      <c r="A24" s="278"/>
      <c r="B24" s="265" t="str">
        <f t="shared" si="0"/>
        <v>× / ×</v>
      </c>
      <c r="C24" s="159" t="s">
        <v>389</v>
      </c>
      <c r="D24" s="159"/>
      <c r="E24" s="159" t="str">
        <f t="shared" si="1"/>
        <v>mask</v>
      </c>
      <c r="F24" s="159" t="str">
        <f t="shared" si="2"/>
        <v>N/A</v>
      </c>
      <c r="G24" s="161" t="s">
        <v>21</v>
      </c>
      <c r="H24" s="161">
        <v>1</v>
      </c>
      <c r="I24" s="180"/>
      <c r="J24" s="184" t="s">
        <v>164</v>
      </c>
      <c r="K24" s="185" t="s">
        <v>164</v>
      </c>
      <c r="M24" s="143" t="s">
        <v>164</v>
      </c>
      <c r="N24" s="144" t="s">
        <v>382</v>
      </c>
      <c r="O24" s="144" t="s">
        <v>396</v>
      </c>
      <c r="P24" s="144" t="s">
        <v>164</v>
      </c>
      <c r="Q24" s="144" t="s">
        <v>359</v>
      </c>
      <c r="R24" s="145" t="s">
        <v>366</v>
      </c>
      <c r="T24" s="72" t="s">
        <v>144</v>
      </c>
      <c r="U24" s="157" t="s">
        <v>144</v>
      </c>
      <c r="V24" s="157" t="s">
        <v>144</v>
      </c>
      <c r="W24" s="157" t="s">
        <v>144</v>
      </c>
      <c r="X24" s="157" t="s">
        <v>144</v>
      </c>
      <c r="Y24" s="157" t="s">
        <v>144</v>
      </c>
      <c r="Z24" s="157" t="s">
        <v>144</v>
      </c>
      <c r="AA24" s="157" t="s">
        <v>144</v>
      </c>
      <c r="AB24" s="157" t="s">
        <v>144</v>
      </c>
      <c r="AC24" s="157" t="s">
        <v>144</v>
      </c>
      <c r="AD24" s="157" t="s">
        <v>144</v>
      </c>
      <c r="AE24" s="157" t="s">
        <v>144</v>
      </c>
      <c r="AF24" s="157" t="s">
        <v>144</v>
      </c>
      <c r="AG24" s="157" t="s">
        <v>143</v>
      </c>
      <c r="AH24" s="157" t="s">
        <v>143</v>
      </c>
      <c r="AI24" s="157" t="s">
        <v>143</v>
      </c>
      <c r="AJ24" s="157" t="s">
        <v>143</v>
      </c>
      <c r="AK24" s="157" t="s">
        <v>143</v>
      </c>
      <c r="AL24" s="157" t="s">
        <v>143</v>
      </c>
      <c r="AM24" s="157" t="s">
        <v>143</v>
      </c>
      <c r="AN24" s="157" t="s">
        <v>143</v>
      </c>
      <c r="AO24" s="157" t="s">
        <v>143</v>
      </c>
      <c r="AP24" s="157" t="s">
        <v>143</v>
      </c>
      <c r="AQ24" s="157" t="s">
        <v>143</v>
      </c>
      <c r="AR24" s="157" t="s">
        <v>143</v>
      </c>
      <c r="AS24" s="33" t="s">
        <v>143</v>
      </c>
    </row>
    <row r="25" spans="1:45" x14ac:dyDescent="0.2">
      <c r="A25" s="278"/>
      <c r="B25" s="247" t="str">
        <f t="shared" si="0"/>
        <v>5.8.4 / 7.8.2</v>
      </c>
      <c r="C25" s="159" t="s">
        <v>231</v>
      </c>
      <c r="D25" s="159" t="s">
        <v>86</v>
      </c>
      <c r="E25" s="159" t="str">
        <f t="shared" si="1"/>
        <v>mask</v>
      </c>
      <c r="F25" s="159" t="str">
        <f t="shared" si="2"/>
        <v>N/A</v>
      </c>
      <c r="G25" s="161" t="s">
        <v>143</v>
      </c>
      <c r="H25" s="161">
        <v>1</v>
      </c>
      <c r="I25" s="180"/>
      <c r="J25" s="184" t="s">
        <v>164</v>
      </c>
      <c r="K25" s="185" t="s">
        <v>164</v>
      </c>
      <c r="M25" s="143" t="s">
        <v>336</v>
      </c>
      <c r="N25" s="144" t="s">
        <v>384</v>
      </c>
      <c r="O25" s="144" t="s">
        <v>397</v>
      </c>
      <c r="P25" s="144" t="s">
        <v>342</v>
      </c>
      <c r="Q25" s="144" t="s">
        <v>361</v>
      </c>
      <c r="R25" s="145" t="s">
        <v>372</v>
      </c>
      <c r="T25" s="72" t="s">
        <v>144</v>
      </c>
      <c r="U25" s="157" t="s">
        <v>144</v>
      </c>
      <c r="V25" s="157" t="s">
        <v>144</v>
      </c>
      <c r="W25" s="157" t="s">
        <v>144</v>
      </c>
      <c r="X25" s="157" t="s">
        <v>144</v>
      </c>
      <c r="Y25" s="157" t="s">
        <v>144</v>
      </c>
      <c r="Z25" s="157" t="s">
        <v>144</v>
      </c>
      <c r="AA25" s="157" t="s">
        <v>144</v>
      </c>
      <c r="AB25" s="157" t="s">
        <v>144</v>
      </c>
      <c r="AC25" s="157" t="s">
        <v>144</v>
      </c>
      <c r="AD25" s="157" t="s">
        <v>144</v>
      </c>
      <c r="AE25" s="157" t="s">
        <v>144</v>
      </c>
      <c r="AF25" s="157" t="s">
        <v>144</v>
      </c>
      <c r="AG25" s="157" t="s">
        <v>143</v>
      </c>
      <c r="AH25" s="157" t="s">
        <v>143</v>
      </c>
      <c r="AI25" s="157" t="s">
        <v>143</v>
      </c>
      <c r="AJ25" s="157" t="s">
        <v>143</v>
      </c>
      <c r="AK25" s="157" t="s">
        <v>143</v>
      </c>
      <c r="AL25" s="157" t="s">
        <v>143</v>
      </c>
      <c r="AM25" s="157" t="s">
        <v>143</v>
      </c>
      <c r="AN25" s="157" t="s">
        <v>143</v>
      </c>
      <c r="AO25" s="157" t="s">
        <v>143</v>
      </c>
      <c r="AP25" s="157" t="s">
        <v>143</v>
      </c>
      <c r="AQ25" s="157" t="s">
        <v>143</v>
      </c>
      <c r="AR25" s="157" t="s">
        <v>143</v>
      </c>
      <c r="AS25" s="33" t="s">
        <v>143</v>
      </c>
    </row>
    <row r="26" spans="1:45" x14ac:dyDescent="0.2">
      <c r="A26" s="278"/>
      <c r="B26" s="247" t="str">
        <f t="shared" si="0"/>
        <v>5.8.4 / 7.8.2</v>
      </c>
      <c r="C26" s="159" t="s">
        <v>232</v>
      </c>
      <c r="D26" s="159" t="s">
        <v>86</v>
      </c>
      <c r="E26" s="159" t="str">
        <f t="shared" si="1"/>
        <v>mask</v>
      </c>
      <c r="F26" s="159" t="str">
        <f t="shared" si="2"/>
        <v>N/A</v>
      </c>
      <c r="G26" s="161" t="s">
        <v>143</v>
      </c>
      <c r="H26" s="161">
        <v>1</v>
      </c>
      <c r="I26" s="180"/>
      <c r="J26" s="184" t="s">
        <v>164</v>
      </c>
      <c r="K26" s="185" t="s">
        <v>164</v>
      </c>
      <c r="M26" s="143" t="s">
        <v>336</v>
      </c>
      <c r="N26" s="144" t="s">
        <v>384</v>
      </c>
      <c r="O26" s="144" t="s">
        <v>397</v>
      </c>
      <c r="P26" s="144" t="s">
        <v>342</v>
      </c>
      <c r="Q26" s="144" t="s">
        <v>361</v>
      </c>
      <c r="R26" s="145" t="s">
        <v>372</v>
      </c>
      <c r="T26" s="72" t="s">
        <v>144</v>
      </c>
      <c r="U26" s="157" t="s">
        <v>144</v>
      </c>
      <c r="V26" s="157" t="s">
        <v>144</v>
      </c>
      <c r="W26" s="157" t="s">
        <v>144</v>
      </c>
      <c r="X26" s="157" t="s">
        <v>144</v>
      </c>
      <c r="Y26" s="157" t="s">
        <v>144</v>
      </c>
      <c r="Z26" s="157" t="s">
        <v>144</v>
      </c>
      <c r="AA26" s="157" t="s">
        <v>144</v>
      </c>
      <c r="AB26" s="157" t="s">
        <v>144</v>
      </c>
      <c r="AC26" s="157" t="s">
        <v>144</v>
      </c>
      <c r="AD26" s="157" t="s">
        <v>144</v>
      </c>
      <c r="AE26" s="157" t="s">
        <v>144</v>
      </c>
      <c r="AF26" s="157" t="s">
        <v>144</v>
      </c>
      <c r="AG26" s="157" t="s">
        <v>143</v>
      </c>
      <c r="AH26" s="157" t="s">
        <v>143</v>
      </c>
      <c r="AI26" s="157" t="s">
        <v>143</v>
      </c>
      <c r="AJ26" s="157" t="s">
        <v>143</v>
      </c>
      <c r="AK26" s="157" t="s">
        <v>143</v>
      </c>
      <c r="AL26" s="157" t="s">
        <v>143</v>
      </c>
      <c r="AM26" s="157" t="s">
        <v>143</v>
      </c>
      <c r="AN26" s="157" t="s">
        <v>143</v>
      </c>
      <c r="AO26" s="157" t="s">
        <v>143</v>
      </c>
      <c r="AP26" s="157" t="s">
        <v>143</v>
      </c>
      <c r="AQ26" s="157" t="s">
        <v>143</v>
      </c>
      <c r="AR26" s="157" t="s">
        <v>143</v>
      </c>
      <c r="AS26" s="33" t="s">
        <v>143</v>
      </c>
    </row>
    <row r="27" spans="1:45" x14ac:dyDescent="0.2">
      <c r="A27" s="165" t="s">
        <v>4</v>
      </c>
      <c r="B27" s="161" t="str">
        <f t="shared" si="0"/>
        <v>5.12.3 / 7.10</v>
      </c>
      <c r="C27" s="159" t="s">
        <v>67</v>
      </c>
      <c r="D27" s="159" t="s">
        <v>19</v>
      </c>
      <c r="E27" s="159">
        <f t="shared" si="1"/>
        <v>0</v>
      </c>
      <c r="F27" s="159">
        <f t="shared" si="2"/>
        <v>210</v>
      </c>
      <c r="G27" s="161" t="s">
        <v>52</v>
      </c>
      <c r="H27" s="161">
        <v>1</v>
      </c>
      <c r="I27" s="168"/>
      <c r="J27" s="174" t="s">
        <v>164</v>
      </c>
      <c r="K27" s="175" t="s">
        <v>164</v>
      </c>
      <c r="M27" s="143" t="s">
        <v>343</v>
      </c>
      <c r="N27" s="144" t="s">
        <v>388</v>
      </c>
      <c r="O27" s="144" t="s">
        <v>401</v>
      </c>
      <c r="P27" s="144" t="s">
        <v>449</v>
      </c>
      <c r="Q27" s="144" t="s">
        <v>452</v>
      </c>
      <c r="R27" s="145" t="s">
        <v>454</v>
      </c>
      <c r="T27" s="72">
        <v>0</v>
      </c>
      <c r="U27" s="157">
        <v>0</v>
      </c>
      <c r="V27" s="157">
        <v>0</v>
      </c>
      <c r="W27" s="157">
        <v>0</v>
      </c>
      <c r="X27" s="157">
        <v>0</v>
      </c>
      <c r="Y27" s="157">
        <v>0</v>
      </c>
      <c r="Z27" s="157">
        <v>0</v>
      </c>
      <c r="AA27" s="157">
        <v>0</v>
      </c>
      <c r="AB27" s="157">
        <v>0</v>
      </c>
      <c r="AC27" s="157">
        <v>0</v>
      </c>
      <c r="AD27" s="157">
        <v>0</v>
      </c>
      <c r="AE27" s="157">
        <v>0</v>
      </c>
      <c r="AF27" s="157">
        <v>0</v>
      </c>
      <c r="AG27" s="157">
        <v>240</v>
      </c>
      <c r="AH27" s="157">
        <v>240</v>
      </c>
      <c r="AI27" s="157">
        <v>210</v>
      </c>
      <c r="AJ27" s="157">
        <v>210</v>
      </c>
      <c r="AK27" s="157">
        <v>210</v>
      </c>
      <c r="AL27" s="157">
        <v>210</v>
      </c>
      <c r="AM27" s="157">
        <v>210</v>
      </c>
      <c r="AN27" s="157">
        <v>240</v>
      </c>
      <c r="AO27" s="157">
        <v>240</v>
      </c>
      <c r="AP27" s="157">
        <v>240</v>
      </c>
      <c r="AQ27" s="157">
        <v>240</v>
      </c>
      <c r="AR27" s="157" t="s">
        <v>143</v>
      </c>
      <c r="AS27" s="33" t="s">
        <v>143</v>
      </c>
    </row>
    <row r="28" spans="1:45" x14ac:dyDescent="0.2">
      <c r="A28" s="278" t="s">
        <v>20</v>
      </c>
      <c r="B28" s="247" t="str">
        <f t="shared" si="0"/>
        <v>5.13.5 / 7.11</v>
      </c>
      <c r="C28" s="221" t="s">
        <v>172</v>
      </c>
      <c r="D28" s="159" t="s">
        <v>661</v>
      </c>
      <c r="E28" s="159">
        <f t="shared" si="1"/>
        <v>0.9</v>
      </c>
      <c r="F28" s="159">
        <f t="shared" si="2"/>
        <v>1</v>
      </c>
      <c r="G28" s="161" t="s">
        <v>344</v>
      </c>
      <c r="H28" s="161">
        <v>1</v>
      </c>
      <c r="I28" s="178"/>
      <c r="J28" s="182" t="s">
        <v>164</v>
      </c>
      <c r="K28" s="183" t="s">
        <v>164</v>
      </c>
      <c r="M28" s="143" t="s">
        <v>408</v>
      </c>
      <c r="N28" s="144" t="s">
        <v>406</v>
      </c>
      <c r="O28" s="144" t="s">
        <v>404</v>
      </c>
      <c r="P28" s="144">
        <v>7.11</v>
      </c>
      <c r="Q28" s="144">
        <v>8.11</v>
      </c>
      <c r="R28" s="145">
        <v>9.11</v>
      </c>
      <c r="T28" s="186">
        <v>0.9</v>
      </c>
      <c r="U28" s="187">
        <v>0.9</v>
      </c>
      <c r="V28" s="187">
        <v>0.9</v>
      </c>
      <c r="W28" s="187">
        <v>0.9</v>
      </c>
      <c r="X28" s="187">
        <v>0.9</v>
      </c>
      <c r="Y28" s="187">
        <v>0.9</v>
      </c>
      <c r="Z28" s="187">
        <v>0.9</v>
      </c>
      <c r="AA28" s="187">
        <v>0.9</v>
      </c>
      <c r="AB28" s="187">
        <v>0.9</v>
      </c>
      <c r="AC28" s="187">
        <v>0.9</v>
      </c>
      <c r="AD28" s="187">
        <v>0.9</v>
      </c>
      <c r="AE28" s="187">
        <v>0.9</v>
      </c>
      <c r="AF28" s="187">
        <v>0.9</v>
      </c>
      <c r="AG28" s="187">
        <v>1</v>
      </c>
      <c r="AH28" s="187">
        <v>1</v>
      </c>
      <c r="AI28" s="187">
        <v>1</v>
      </c>
      <c r="AJ28" s="187">
        <v>1</v>
      </c>
      <c r="AK28" s="187">
        <v>1</v>
      </c>
      <c r="AL28" s="187">
        <v>1</v>
      </c>
      <c r="AM28" s="187">
        <v>1</v>
      </c>
      <c r="AN28" s="187">
        <v>1</v>
      </c>
      <c r="AO28" s="187">
        <v>1</v>
      </c>
      <c r="AP28" s="187">
        <v>1</v>
      </c>
      <c r="AQ28" s="187">
        <v>1</v>
      </c>
      <c r="AR28" s="187">
        <v>1</v>
      </c>
      <c r="AS28" s="188">
        <v>1</v>
      </c>
    </row>
    <row r="29" spans="1:45" x14ac:dyDescent="0.2">
      <c r="A29" s="278"/>
      <c r="B29" s="247" t="str">
        <f t="shared" si="0"/>
        <v>5.13.5 / 7.11</v>
      </c>
      <c r="C29" s="222"/>
      <c r="D29" s="159" t="s">
        <v>656</v>
      </c>
      <c r="E29" s="159">
        <f t="shared" si="1"/>
        <v>0.95</v>
      </c>
      <c r="F29" s="159">
        <f t="shared" si="2"/>
        <v>1</v>
      </c>
      <c r="G29" s="161" t="s">
        <v>344</v>
      </c>
      <c r="H29" s="161">
        <v>1</v>
      </c>
      <c r="I29" s="178"/>
      <c r="J29" s="182" t="s">
        <v>164</v>
      </c>
      <c r="K29" s="183" t="s">
        <v>164</v>
      </c>
      <c r="M29" s="143" t="s">
        <v>407</v>
      </c>
      <c r="N29" s="144" t="s">
        <v>405</v>
      </c>
      <c r="O29" s="144" t="s">
        <v>403</v>
      </c>
      <c r="P29" s="144">
        <v>7.11</v>
      </c>
      <c r="Q29" s="144">
        <v>8.11</v>
      </c>
      <c r="R29" s="145">
        <v>9.11</v>
      </c>
      <c r="T29" s="186">
        <v>0.95</v>
      </c>
      <c r="U29" s="187">
        <v>0.95</v>
      </c>
      <c r="V29" s="187">
        <v>0.95</v>
      </c>
      <c r="W29" s="187">
        <v>0.95</v>
      </c>
      <c r="X29" s="187">
        <v>0.95</v>
      </c>
      <c r="Y29" s="187">
        <v>0.95</v>
      </c>
      <c r="Z29" s="187">
        <v>0.95</v>
      </c>
      <c r="AA29" s="187">
        <v>0.95</v>
      </c>
      <c r="AB29" s="187">
        <v>0.95</v>
      </c>
      <c r="AC29" s="187">
        <v>0.95</v>
      </c>
      <c r="AD29" s="187">
        <v>0.95</v>
      </c>
      <c r="AE29" s="187">
        <v>0.95</v>
      </c>
      <c r="AF29" s="187">
        <v>0.95</v>
      </c>
      <c r="AG29" s="187">
        <v>1</v>
      </c>
      <c r="AH29" s="187">
        <v>1</v>
      </c>
      <c r="AI29" s="187">
        <v>1</v>
      </c>
      <c r="AJ29" s="187">
        <v>1</v>
      </c>
      <c r="AK29" s="187">
        <v>1</v>
      </c>
      <c r="AL29" s="187">
        <v>1</v>
      </c>
      <c r="AM29" s="187">
        <v>1</v>
      </c>
      <c r="AN29" s="187">
        <v>1</v>
      </c>
      <c r="AO29" s="187">
        <v>1</v>
      </c>
      <c r="AP29" s="187">
        <v>1</v>
      </c>
      <c r="AQ29" s="187">
        <v>1</v>
      </c>
      <c r="AR29" s="187">
        <v>1</v>
      </c>
      <c r="AS29" s="188">
        <v>1</v>
      </c>
    </row>
    <row r="30" spans="1:45" x14ac:dyDescent="0.2">
      <c r="A30" s="278"/>
      <c r="B30" s="247" t="str">
        <f t="shared" si="0"/>
        <v>5.13.5 / 7.11</v>
      </c>
      <c r="C30" s="159" t="s">
        <v>174</v>
      </c>
      <c r="D30" s="159" t="s">
        <v>173</v>
      </c>
      <c r="E30" s="159">
        <f t="shared" si="1"/>
        <v>0.95</v>
      </c>
      <c r="F30" s="159">
        <f t="shared" si="2"/>
        <v>1</v>
      </c>
      <c r="G30" s="161" t="s">
        <v>344</v>
      </c>
      <c r="H30" s="161">
        <v>1</v>
      </c>
      <c r="I30" s="178"/>
      <c r="J30" s="182" t="s">
        <v>164</v>
      </c>
      <c r="K30" s="183" t="s">
        <v>164</v>
      </c>
      <c r="M30" s="143" t="s">
        <v>407</v>
      </c>
      <c r="N30" s="144" t="s">
        <v>405</v>
      </c>
      <c r="O30" s="144" t="s">
        <v>403</v>
      </c>
      <c r="P30" s="144">
        <v>7.11</v>
      </c>
      <c r="Q30" s="144">
        <v>8.11</v>
      </c>
      <c r="R30" s="145">
        <v>9.11</v>
      </c>
      <c r="T30" s="186">
        <v>0.95</v>
      </c>
      <c r="U30" s="187">
        <v>0.95</v>
      </c>
      <c r="V30" s="187">
        <v>0.95</v>
      </c>
      <c r="W30" s="187">
        <v>0.95</v>
      </c>
      <c r="X30" s="187">
        <v>0.95</v>
      </c>
      <c r="Y30" s="187">
        <v>0.95</v>
      </c>
      <c r="Z30" s="187">
        <v>0.95</v>
      </c>
      <c r="AA30" s="187">
        <v>0.95</v>
      </c>
      <c r="AB30" s="187">
        <v>0.95</v>
      </c>
      <c r="AC30" s="187">
        <v>0.95</v>
      </c>
      <c r="AD30" s="187">
        <v>0.95</v>
      </c>
      <c r="AE30" s="187">
        <v>0.95</v>
      </c>
      <c r="AF30" s="187">
        <v>0.95</v>
      </c>
      <c r="AG30" s="187">
        <v>1</v>
      </c>
      <c r="AH30" s="187">
        <v>1</v>
      </c>
      <c r="AI30" s="187">
        <v>1</v>
      </c>
      <c r="AJ30" s="187">
        <v>1</v>
      </c>
      <c r="AK30" s="187">
        <v>1</v>
      </c>
      <c r="AL30" s="187">
        <v>1</v>
      </c>
      <c r="AM30" s="187">
        <v>1</v>
      </c>
      <c r="AN30" s="187">
        <v>1</v>
      </c>
      <c r="AO30" s="187">
        <v>1</v>
      </c>
      <c r="AP30" s="187">
        <v>1</v>
      </c>
      <c r="AQ30" s="187">
        <v>1</v>
      </c>
      <c r="AR30" s="187">
        <v>1</v>
      </c>
      <c r="AS30" s="188">
        <v>1</v>
      </c>
    </row>
    <row r="31" spans="1:45" x14ac:dyDescent="0.2">
      <c r="A31" s="278"/>
      <c r="B31" s="247" t="str">
        <f t="shared" si="0"/>
        <v>5.13.5 / 7.11</v>
      </c>
      <c r="C31" s="221" t="s">
        <v>175</v>
      </c>
      <c r="D31" s="159" t="s">
        <v>658</v>
      </c>
      <c r="E31" s="159">
        <f t="shared" si="1"/>
        <v>0.9</v>
      </c>
      <c r="F31" s="159">
        <f t="shared" si="2"/>
        <v>1</v>
      </c>
      <c r="G31" s="161" t="s">
        <v>344</v>
      </c>
      <c r="H31" s="161">
        <v>1</v>
      </c>
      <c r="I31" s="178"/>
      <c r="J31" s="182" t="s">
        <v>164</v>
      </c>
      <c r="K31" s="183" t="s">
        <v>164</v>
      </c>
      <c r="M31" s="143" t="s">
        <v>407</v>
      </c>
      <c r="N31" s="144" t="s">
        <v>405</v>
      </c>
      <c r="O31" s="144" t="s">
        <v>403</v>
      </c>
      <c r="P31" s="144">
        <v>7.11</v>
      </c>
      <c r="Q31" s="144">
        <v>8.11</v>
      </c>
      <c r="R31" s="145">
        <v>9.11</v>
      </c>
      <c r="T31" s="186">
        <v>0.9</v>
      </c>
      <c r="U31" s="187">
        <v>0.9</v>
      </c>
      <c r="V31" s="187">
        <v>0.9</v>
      </c>
      <c r="W31" s="187">
        <v>0.9</v>
      </c>
      <c r="X31" s="187">
        <v>0.9</v>
      </c>
      <c r="Y31" s="187">
        <v>0.9</v>
      </c>
      <c r="Z31" s="187">
        <v>0.9</v>
      </c>
      <c r="AA31" s="187">
        <v>0.9</v>
      </c>
      <c r="AB31" s="187">
        <v>0.9</v>
      </c>
      <c r="AC31" s="187">
        <v>0.9</v>
      </c>
      <c r="AD31" s="187">
        <v>0.9</v>
      </c>
      <c r="AE31" s="187">
        <v>0.9</v>
      </c>
      <c r="AF31" s="187">
        <v>0.9</v>
      </c>
      <c r="AG31" s="187">
        <v>1</v>
      </c>
      <c r="AH31" s="187">
        <v>1</v>
      </c>
      <c r="AI31" s="187">
        <v>1</v>
      </c>
      <c r="AJ31" s="187">
        <v>1</v>
      </c>
      <c r="AK31" s="187">
        <v>1</v>
      </c>
      <c r="AL31" s="187">
        <v>1</v>
      </c>
      <c r="AM31" s="187">
        <v>1</v>
      </c>
      <c r="AN31" s="187">
        <v>1</v>
      </c>
      <c r="AO31" s="187">
        <v>1</v>
      </c>
      <c r="AP31" s="187">
        <v>1</v>
      </c>
      <c r="AQ31" s="187">
        <v>1</v>
      </c>
      <c r="AR31" s="187">
        <v>1</v>
      </c>
      <c r="AS31" s="188">
        <v>1</v>
      </c>
    </row>
    <row r="32" spans="1:45" x14ac:dyDescent="0.2">
      <c r="A32" s="278"/>
      <c r="B32" s="247" t="str">
        <f t="shared" si="0"/>
        <v>5.13.5 / 7.11</v>
      </c>
      <c r="C32" s="222"/>
      <c r="D32" s="159" t="s">
        <v>173</v>
      </c>
      <c r="E32" s="159">
        <f t="shared" si="1"/>
        <v>0.95</v>
      </c>
      <c r="F32" s="159">
        <f t="shared" si="2"/>
        <v>1</v>
      </c>
      <c r="G32" s="161" t="s">
        <v>344</v>
      </c>
      <c r="H32" s="161">
        <v>1</v>
      </c>
      <c r="I32" s="178"/>
      <c r="J32" s="182" t="s">
        <v>164</v>
      </c>
      <c r="K32" s="183" t="s">
        <v>164</v>
      </c>
      <c r="M32" s="143" t="s">
        <v>407</v>
      </c>
      <c r="N32" s="144" t="s">
        <v>405</v>
      </c>
      <c r="O32" s="144" t="s">
        <v>403</v>
      </c>
      <c r="P32" s="144">
        <v>7.11</v>
      </c>
      <c r="Q32" s="144">
        <v>8.11</v>
      </c>
      <c r="R32" s="145">
        <v>9.11</v>
      </c>
      <c r="T32" s="186">
        <v>0.95</v>
      </c>
      <c r="U32" s="187">
        <v>0.95</v>
      </c>
      <c r="V32" s="187">
        <v>0.95</v>
      </c>
      <c r="W32" s="187">
        <v>0.95</v>
      </c>
      <c r="X32" s="187">
        <v>0.95</v>
      </c>
      <c r="Y32" s="187">
        <v>0.95</v>
      </c>
      <c r="Z32" s="187">
        <v>0.95</v>
      </c>
      <c r="AA32" s="187">
        <v>0.95</v>
      </c>
      <c r="AB32" s="187">
        <v>0.95</v>
      </c>
      <c r="AC32" s="187">
        <v>0.95</v>
      </c>
      <c r="AD32" s="187">
        <v>0.95</v>
      </c>
      <c r="AE32" s="187">
        <v>0.95</v>
      </c>
      <c r="AF32" s="187">
        <v>0.95</v>
      </c>
      <c r="AG32" s="187">
        <v>1</v>
      </c>
      <c r="AH32" s="187">
        <v>1</v>
      </c>
      <c r="AI32" s="187">
        <v>1</v>
      </c>
      <c r="AJ32" s="187">
        <v>1</v>
      </c>
      <c r="AK32" s="187">
        <v>1</v>
      </c>
      <c r="AL32" s="187">
        <v>1</v>
      </c>
      <c r="AM32" s="187">
        <v>1</v>
      </c>
      <c r="AN32" s="187">
        <v>1</v>
      </c>
      <c r="AO32" s="187">
        <v>1</v>
      </c>
      <c r="AP32" s="187">
        <v>1</v>
      </c>
      <c r="AQ32" s="187">
        <v>1</v>
      </c>
      <c r="AR32" s="187">
        <v>1</v>
      </c>
      <c r="AS32" s="188">
        <v>1</v>
      </c>
    </row>
    <row r="33" spans="1:45" x14ac:dyDescent="0.2">
      <c r="A33" s="278"/>
      <c r="B33" s="247" t="str">
        <f t="shared" si="0"/>
        <v>5.13.5 / 7.11</v>
      </c>
      <c r="C33" s="159" t="s">
        <v>176</v>
      </c>
      <c r="D33" s="159" t="s">
        <v>173</v>
      </c>
      <c r="E33" s="159">
        <f t="shared" si="1"/>
        <v>0.95</v>
      </c>
      <c r="F33" s="159">
        <f t="shared" si="2"/>
        <v>1</v>
      </c>
      <c r="G33" s="161" t="s">
        <v>344</v>
      </c>
      <c r="H33" s="161">
        <v>1</v>
      </c>
      <c r="I33" s="178"/>
      <c r="J33" s="182" t="s">
        <v>164</v>
      </c>
      <c r="K33" s="183" t="s">
        <v>164</v>
      </c>
      <c r="M33" s="143" t="s">
        <v>407</v>
      </c>
      <c r="N33" s="144" t="s">
        <v>405</v>
      </c>
      <c r="O33" s="144" t="s">
        <v>403</v>
      </c>
      <c r="P33" s="144">
        <v>7.11</v>
      </c>
      <c r="Q33" s="144">
        <v>8.11</v>
      </c>
      <c r="R33" s="145">
        <v>9.11</v>
      </c>
      <c r="T33" s="186">
        <v>0.95</v>
      </c>
      <c r="U33" s="187">
        <v>0.95</v>
      </c>
      <c r="V33" s="187">
        <v>0.95</v>
      </c>
      <c r="W33" s="187">
        <v>0.95</v>
      </c>
      <c r="X33" s="187">
        <v>0.95</v>
      </c>
      <c r="Y33" s="187">
        <v>0.95</v>
      </c>
      <c r="Z33" s="187">
        <v>0.95</v>
      </c>
      <c r="AA33" s="187">
        <v>0.95</v>
      </c>
      <c r="AB33" s="187">
        <v>0.95</v>
      </c>
      <c r="AC33" s="187">
        <v>0.95</v>
      </c>
      <c r="AD33" s="187">
        <v>0.95</v>
      </c>
      <c r="AE33" s="187">
        <v>0.95</v>
      </c>
      <c r="AF33" s="187">
        <v>0.95</v>
      </c>
      <c r="AG33" s="187">
        <v>1</v>
      </c>
      <c r="AH33" s="187">
        <v>1</v>
      </c>
      <c r="AI33" s="187">
        <v>1</v>
      </c>
      <c r="AJ33" s="187">
        <v>1</v>
      </c>
      <c r="AK33" s="187">
        <v>1</v>
      </c>
      <c r="AL33" s="187">
        <v>1</v>
      </c>
      <c r="AM33" s="187">
        <v>1</v>
      </c>
      <c r="AN33" s="187">
        <v>1</v>
      </c>
      <c r="AO33" s="187">
        <v>1</v>
      </c>
      <c r="AP33" s="187">
        <v>1</v>
      </c>
      <c r="AQ33" s="187">
        <v>1</v>
      </c>
      <c r="AR33" s="187">
        <v>1</v>
      </c>
      <c r="AS33" s="188">
        <v>1</v>
      </c>
    </row>
    <row r="34" spans="1:45" x14ac:dyDescent="0.2">
      <c r="A34" s="278" t="s">
        <v>346</v>
      </c>
      <c r="B34" s="247" t="str">
        <f t="shared" si="0"/>
        <v>5.11.4 / 7.12.3</v>
      </c>
      <c r="C34" s="159" t="s">
        <v>37</v>
      </c>
      <c r="D34" s="159" t="s">
        <v>40</v>
      </c>
      <c r="E34" s="159">
        <f t="shared" si="1"/>
        <v>3</v>
      </c>
      <c r="F34" s="159">
        <f t="shared" si="2"/>
        <v>5</v>
      </c>
      <c r="G34" s="161" t="s">
        <v>143</v>
      </c>
      <c r="H34" s="161">
        <v>1</v>
      </c>
      <c r="I34" s="168"/>
      <c r="J34" s="174" t="s">
        <v>164</v>
      </c>
      <c r="K34" s="175" t="s">
        <v>164</v>
      </c>
      <c r="M34" s="143" t="s">
        <v>350</v>
      </c>
      <c r="N34" s="144" t="s">
        <v>387</v>
      </c>
      <c r="O34" s="144" t="s">
        <v>400</v>
      </c>
      <c r="P34" s="144" t="s">
        <v>348</v>
      </c>
      <c r="Q34" s="144" t="s">
        <v>362</v>
      </c>
      <c r="R34" s="145" t="s">
        <v>373</v>
      </c>
      <c r="T34" s="72">
        <v>3</v>
      </c>
      <c r="U34" s="157">
        <v>3</v>
      </c>
      <c r="V34" s="157">
        <v>3</v>
      </c>
      <c r="W34" s="157">
        <v>3</v>
      </c>
      <c r="X34" s="157">
        <v>3</v>
      </c>
      <c r="Y34" s="157">
        <v>3</v>
      </c>
      <c r="Z34" s="157">
        <v>3</v>
      </c>
      <c r="AA34" s="157">
        <v>3</v>
      </c>
      <c r="AB34" s="157">
        <v>3</v>
      </c>
      <c r="AC34" s="157">
        <v>3</v>
      </c>
      <c r="AD34" s="157">
        <v>3</v>
      </c>
      <c r="AE34" s="157">
        <v>3</v>
      </c>
      <c r="AF34" s="157">
        <v>3</v>
      </c>
      <c r="AG34" s="157">
        <v>5</v>
      </c>
      <c r="AH34" s="157">
        <v>5</v>
      </c>
      <c r="AI34" s="157">
        <v>5</v>
      </c>
      <c r="AJ34" s="157">
        <v>5</v>
      </c>
      <c r="AK34" s="157">
        <v>5</v>
      </c>
      <c r="AL34" s="157">
        <v>5</v>
      </c>
      <c r="AM34" s="157">
        <v>5</v>
      </c>
      <c r="AN34" s="157">
        <v>5</v>
      </c>
      <c r="AO34" s="157">
        <v>5</v>
      </c>
      <c r="AP34" s="157">
        <v>5</v>
      </c>
      <c r="AQ34" s="157">
        <v>5</v>
      </c>
      <c r="AR34" s="157">
        <v>5</v>
      </c>
      <c r="AS34" s="33">
        <v>5</v>
      </c>
    </row>
    <row r="35" spans="1:45" x14ac:dyDescent="0.2">
      <c r="A35" s="278"/>
      <c r="B35" s="247" t="str">
        <f t="shared" si="0"/>
        <v>5.11.4 / 7.12.3</v>
      </c>
      <c r="C35" s="159" t="s">
        <v>38</v>
      </c>
      <c r="D35" s="159" t="s">
        <v>40</v>
      </c>
      <c r="E35" s="159">
        <f t="shared" si="1"/>
        <v>2.2999999999999998</v>
      </c>
      <c r="F35" s="159">
        <f t="shared" si="2"/>
        <v>5</v>
      </c>
      <c r="G35" s="161" t="s">
        <v>143</v>
      </c>
      <c r="H35" s="161">
        <v>1</v>
      </c>
      <c r="I35" s="168"/>
      <c r="J35" s="174" t="s">
        <v>164</v>
      </c>
      <c r="K35" s="175" t="s">
        <v>164</v>
      </c>
      <c r="M35" s="143" t="s">
        <v>349</v>
      </c>
      <c r="N35" s="144" t="s">
        <v>386</v>
      </c>
      <c r="O35" s="144" t="s">
        <v>399</v>
      </c>
      <c r="P35" s="144" t="s">
        <v>347</v>
      </c>
      <c r="Q35" s="144" t="s">
        <v>362</v>
      </c>
      <c r="R35" s="145" t="s">
        <v>373</v>
      </c>
      <c r="T35" s="72">
        <v>2.2999999999999998</v>
      </c>
      <c r="U35" s="157">
        <v>2.2999999999999998</v>
      </c>
      <c r="V35" s="157">
        <v>2.2999999999999998</v>
      </c>
      <c r="W35" s="157">
        <v>2.2999999999999998</v>
      </c>
      <c r="X35" s="157">
        <v>2.2999999999999998</v>
      </c>
      <c r="Y35" s="157">
        <v>2.2999999999999998</v>
      </c>
      <c r="Z35" s="157">
        <v>2.2999999999999998</v>
      </c>
      <c r="AA35" s="157">
        <v>2.2999999999999998</v>
      </c>
      <c r="AB35" s="157">
        <v>2.2999999999999998</v>
      </c>
      <c r="AC35" s="157">
        <v>2.2999999999999998</v>
      </c>
      <c r="AD35" s="157">
        <v>2.2999999999999998</v>
      </c>
      <c r="AE35" s="157">
        <v>2.2999999999999998</v>
      </c>
      <c r="AF35" s="157">
        <v>2.2999999999999998</v>
      </c>
      <c r="AG35" s="157">
        <v>5</v>
      </c>
      <c r="AH35" s="157">
        <v>5</v>
      </c>
      <c r="AI35" s="157">
        <v>5</v>
      </c>
      <c r="AJ35" s="157">
        <v>5</v>
      </c>
      <c r="AK35" s="157">
        <v>5</v>
      </c>
      <c r="AL35" s="157">
        <v>5</v>
      </c>
      <c r="AM35" s="157">
        <v>5</v>
      </c>
      <c r="AN35" s="157">
        <v>5</v>
      </c>
      <c r="AO35" s="157">
        <v>5</v>
      </c>
      <c r="AP35" s="157">
        <v>5</v>
      </c>
      <c r="AQ35" s="157">
        <v>5</v>
      </c>
      <c r="AR35" s="157">
        <v>5</v>
      </c>
      <c r="AS35" s="33">
        <v>5</v>
      </c>
    </row>
    <row r="36" spans="1:45" x14ac:dyDescent="0.2">
      <c r="A36" s="278"/>
      <c r="B36" s="247" t="str">
        <f t="shared" si="0"/>
        <v>5.11.4 / 7.12.3</v>
      </c>
      <c r="C36" s="159" t="s">
        <v>39</v>
      </c>
      <c r="D36" s="159" t="s">
        <v>40</v>
      </c>
      <c r="E36" s="159">
        <f t="shared" si="1"/>
        <v>0</v>
      </c>
      <c r="F36" s="159">
        <f t="shared" si="2"/>
        <v>5</v>
      </c>
      <c r="G36" s="161" t="s">
        <v>143</v>
      </c>
      <c r="H36" s="161">
        <v>1</v>
      </c>
      <c r="I36" s="168"/>
      <c r="J36" s="174" t="s">
        <v>164</v>
      </c>
      <c r="K36" s="175" t="s">
        <v>164</v>
      </c>
      <c r="M36" s="143" t="s">
        <v>349</v>
      </c>
      <c r="N36" s="144" t="s">
        <v>386</v>
      </c>
      <c r="O36" s="144" t="s">
        <v>399</v>
      </c>
      <c r="P36" s="144" t="s">
        <v>347</v>
      </c>
      <c r="Q36" s="144" t="s">
        <v>362</v>
      </c>
      <c r="R36" s="145" t="s">
        <v>373</v>
      </c>
      <c r="T36" s="72">
        <v>0</v>
      </c>
      <c r="U36" s="157">
        <v>0</v>
      </c>
      <c r="V36" s="157">
        <v>0</v>
      </c>
      <c r="W36" s="157">
        <v>0</v>
      </c>
      <c r="X36" s="157">
        <v>0</v>
      </c>
      <c r="Y36" s="157">
        <v>0</v>
      </c>
      <c r="Z36" s="157">
        <v>0</v>
      </c>
      <c r="AA36" s="157">
        <v>0</v>
      </c>
      <c r="AB36" s="157">
        <v>0</v>
      </c>
      <c r="AC36" s="157">
        <v>0</v>
      </c>
      <c r="AD36" s="157">
        <v>0</v>
      </c>
      <c r="AE36" s="157">
        <v>0</v>
      </c>
      <c r="AF36" s="157">
        <v>0</v>
      </c>
      <c r="AG36" s="157">
        <v>5</v>
      </c>
      <c r="AH36" s="157">
        <v>5</v>
      </c>
      <c r="AI36" s="157">
        <v>5</v>
      </c>
      <c r="AJ36" s="157">
        <v>5</v>
      </c>
      <c r="AK36" s="157">
        <v>5</v>
      </c>
      <c r="AL36" s="157">
        <v>5</v>
      </c>
      <c r="AM36" s="157">
        <v>5</v>
      </c>
      <c r="AN36" s="157">
        <v>5</v>
      </c>
      <c r="AO36" s="157">
        <v>5</v>
      </c>
      <c r="AP36" s="157">
        <v>5</v>
      </c>
      <c r="AQ36" s="157">
        <v>5</v>
      </c>
      <c r="AR36" s="157">
        <v>5</v>
      </c>
      <c r="AS36" s="33">
        <v>5</v>
      </c>
    </row>
    <row r="37" spans="1:45" x14ac:dyDescent="0.2">
      <c r="A37" s="278"/>
      <c r="B37" s="247" t="str">
        <f t="shared" si="0"/>
        <v>5.11.4 / 7.12.3</v>
      </c>
      <c r="C37" s="231" t="s">
        <v>37</v>
      </c>
      <c r="D37" s="159" t="s">
        <v>29</v>
      </c>
      <c r="E37" s="159">
        <f t="shared" si="1"/>
        <v>0</v>
      </c>
      <c r="F37" s="159">
        <f t="shared" si="2"/>
        <v>5</v>
      </c>
      <c r="G37" s="161" t="s">
        <v>143</v>
      </c>
      <c r="H37" s="161">
        <v>1</v>
      </c>
      <c r="I37" s="168"/>
      <c r="J37" s="174" t="s">
        <v>164</v>
      </c>
      <c r="K37" s="175" t="s">
        <v>164</v>
      </c>
      <c r="M37" s="143" t="s">
        <v>349</v>
      </c>
      <c r="N37" s="144" t="s">
        <v>386</v>
      </c>
      <c r="O37" s="144" t="s">
        <v>399</v>
      </c>
      <c r="P37" s="144" t="s">
        <v>347</v>
      </c>
      <c r="Q37" s="144" t="s">
        <v>362</v>
      </c>
      <c r="R37" s="145" t="s">
        <v>373</v>
      </c>
      <c r="T37" s="72">
        <v>0</v>
      </c>
      <c r="U37" s="157">
        <v>0</v>
      </c>
      <c r="V37" s="157">
        <v>0</v>
      </c>
      <c r="W37" s="157">
        <v>0</v>
      </c>
      <c r="X37" s="157">
        <v>0</v>
      </c>
      <c r="Y37" s="157">
        <v>0</v>
      </c>
      <c r="Z37" s="157">
        <v>0</v>
      </c>
      <c r="AA37" s="157">
        <v>0</v>
      </c>
      <c r="AB37" s="157">
        <v>0</v>
      </c>
      <c r="AC37" s="157">
        <v>0</v>
      </c>
      <c r="AD37" s="157">
        <v>0</v>
      </c>
      <c r="AE37" s="157">
        <v>0</v>
      </c>
      <c r="AF37" s="157">
        <v>0</v>
      </c>
      <c r="AG37" s="157">
        <v>5</v>
      </c>
      <c r="AH37" s="157">
        <v>5</v>
      </c>
      <c r="AI37" s="157">
        <v>5</v>
      </c>
      <c r="AJ37" s="157">
        <v>5</v>
      </c>
      <c r="AK37" s="157">
        <v>5</v>
      </c>
      <c r="AL37" s="157">
        <v>5</v>
      </c>
      <c r="AM37" s="157">
        <v>5</v>
      </c>
      <c r="AN37" s="157">
        <v>5</v>
      </c>
      <c r="AO37" s="157">
        <v>5</v>
      </c>
      <c r="AP37" s="157">
        <v>5</v>
      </c>
      <c r="AQ37" s="157">
        <v>5</v>
      </c>
      <c r="AR37" s="157">
        <v>5</v>
      </c>
      <c r="AS37" s="33">
        <v>5</v>
      </c>
    </row>
    <row r="38" spans="1:45" x14ac:dyDescent="0.2">
      <c r="A38" s="278"/>
      <c r="B38" s="247" t="str">
        <f t="shared" si="0"/>
        <v>5.11.4 / 7.12.3</v>
      </c>
      <c r="C38" s="231"/>
      <c r="D38" s="159" t="s">
        <v>30</v>
      </c>
      <c r="E38" s="159">
        <f t="shared" si="1"/>
        <v>0</v>
      </c>
      <c r="F38" s="159">
        <f t="shared" si="2"/>
        <v>5</v>
      </c>
      <c r="G38" s="161" t="s">
        <v>143</v>
      </c>
      <c r="H38" s="161">
        <v>1</v>
      </c>
      <c r="I38" s="168"/>
      <c r="J38" s="174" t="s">
        <v>164</v>
      </c>
      <c r="K38" s="175" t="s">
        <v>164</v>
      </c>
      <c r="M38" s="143" t="s">
        <v>349</v>
      </c>
      <c r="N38" s="144" t="s">
        <v>386</v>
      </c>
      <c r="O38" s="144" t="s">
        <v>399</v>
      </c>
      <c r="P38" s="144" t="s">
        <v>347</v>
      </c>
      <c r="Q38" s="144" t="s">
        <v>362</v>
      </c>
      <c r="R38" s="145" t="s">
        <v>373</v>
      </c>
      <c r="T38" s="72">
        <v>0</v>
      </c>
      <c r="U38" s="157">
        <v>0</v>
      </c>
      <c r="V38" s="157">
        <v>0</v>
      </c>
      <c r="W38" s="157">
        <v>0</v>
      </c>
      <c r="X38" s="157">
        <v>0</v>
      </c>
      <c r="Y38" s="157">
        <v>0</v>
      </c>
      <c r="Z38" s="157">
        <v>0</v>
      </c>
      <c r="AA38" s="157">
        <v>0</v>
      </c>
      <c r="AB38" s="157">
        <v>0</v>
      </c>
      <c r="AC38" s="157">
        <v>0</v>
      </c>
      <c r="AD38" s="157">
        <v>0</v>
      </c>
      <c r="AE38" s="157">
        <v>0</v>
      </c>
      <c r="AF38" s="157">
        <v>0</v>
      </c>
      <c r="AG38" s="157">
        <v>5</v>
      </c>
      <c r="AH38" s="157">
        <v>5</v>
      </c>
      <c r="AI38" s="157">
        <v>5</v>
      </c>
      <c r="AJ38" s="157">
        <v>5</v>
      </c>
      <c r="AK38" s="157">
        <v>5</v>
      </c>
      <c r="AL38" s="157">
        <v>5</v>
      </c>
      <c r="AM38" s="157">
        <v>5</v>
      </c>
      <c r="AN38" s="157">
        <v>5</v>
      </c>
      <c r="AO38" s="157">
        <v>5</v>
      </c>
      <c r="AP38" s="157">
        <v>5</v>
      </c>
      <c r="AQ38" s="157">
        <v>5</v>
      </c>
      <c r="AR38" s="157">
        <v>5</v>
      </c>
      <c r="AS38" s="33">
        <v>5</v>
      </c>
    </row>
    <row r="39" spans="1:45" x14ac:dyDescent="0.2">
      <c r="A39" s="278"/>
      <c r="B39" s="247" t="str">
        <f t="shared" si="0"/>
        <v>5.11.4 / 7.12.3</v>
      </c>
      <c r="C39" s="231"/>
      <c r="D39" s="159" t="s">
        <v>31</v>
      </c>
      <c r="E39" s="159">
        <f t="shared" si="1"/>
        <v>0</v>
      </c>
      <c r="F39" s="159">
        <f t="shared" si="2"/>
        <v>5</v>
      </c>
      <c r="G39" s="161" t="s">
        <v>143</v>
      </c>
      <c r="H39" s="161">
        <v>1</v>
      </c>
      <c r="I39" s="168"/>
      <c r="J39" s="174" t="s">
        <v>164</v>
      </c>
      <c r="K39" s="175" t="s">
        <v>164</v>
      </c>
      <c r="M39" s="143" t="s">
        <v>349</v>
      </c>
      <c r="N39" s="144" t="s">
        <v>386</v>
      </c>
      <c r="O39" s="144" t="s">
        <v>399</v>
      </c>
      <c r="P39" s="144" t="s">
        <v>347</v>
      </c>
      <c r="Q39" s="144" t="s">
        <v>362</v>
      </c>
      <c r="R39" s="145" t="s">
        <v>373</v>
      </c>
      <c r="T39" s="72">
        <v>0</v>
      </c>
      <c r="U39" s="157">
        <v>0</v>
      </c>
      <c r="V39" s="157">
        <v>0</v>
      </c>
      <c r="W39" s="157">
        <v>0</v>
      </c>
      <c r="X39" s="157">
        <v>0</v>
      </c>
      <c r="Y39" s="157">
        <v>0</v>
      </c>
      <c r="Z39" s="157">
        <v>0</v>
      </c>
      <c r="AA39" s="157">
        <v>0</v>
      </c>
      <c r="AB39" s="157">
        <v>0</v>
      </c>
      <c r="AC39" s="157">
        <v>0</v>
      </c>
      <c r="AD39" s="157">
        <v>0</v>
      </c>
      <c r="AE39" s="157">
        <v>0</v>
      </c>
      <c r="AF39" s="157">
        <v>0</v>
      </c>
      <c r="AG39" s="157">
        <v>5</v>
      </c>
      <c r="AH39" s="157">
        <v>5</v>
      </c>
      <c r="AI39" s="157">
        <v>5</v>
      </c>
      <c r="AJ39" s="157">
        <v>5</v>
      </c>
      <c r="AK39" s="157">
        <v>5</v>
      </c>
      <c r="AL39" s="157">
        <v>5</v>
      </c>
      <c r="AM39" s="157">
        <v>5</v>
      </c>
      <c r="AN39" s="157">
        <v>5</v>
      </c>
      <c r="AO39" s="157">
        <v>5</v>
      </c>
      <c r="AP39" s="157">
        <v>5</v>
      </c>
      <c r="AQ39" s="157">
        <v>5</v>
      </c>
      <c r="AR39" s="157">
        <v>5</v>
      </c>
      <c r="AS39" s="33">
        <v>5</v>
      </c>
    </row>
    <row r="40" spans="1:45" x14ac:dyDescent="0.2">
      <c r="A40" s="278"/>
      <c r="B40" s="247" t="str">
        <f t="shared" si="0"/>
        <v>5.11.4 / 7.12.3</v>
      </c>
      <c r="C40" s="231"/>
      <c r="D40" s="159" t="s">
        <v>36</v>
      </c>
      <c r="E40" s="159">
        <f t="shared" si="1"/>
        <v>0</v>
      </c>
      <c r="F40" s="159">
        <f t="shared" si="2"/>
        <v>5</v>
      </c>
      <c r="G40" s="161" t="s">
        <v>143</v>
      </c>
      <c r="H40" s="161">
        <v>1</v>
      </c>
      <c r="I40" s="168"/>
      <c r="J40" s="174" t="s">
        <v>164</v>
      </c>
      <c r="K40" s="175" t="s">
        <v>164</v>
      </c>
      <c r="M40" s="143" t="s">
        <v>349</v>
      </c>
      <c r="N40" s="144" t="s">
        <v>386</v>
      </c>
      <c r="O40" s="144" t="s">
        <v>399</v>
      </c>
      <c r="P40" s="144" t="s">
        <v>347</v>
      </c>
      <c r="Q40" s="144" t="s">
        <v>362</v>
      </c>
      <c r="R40" s="145" t="s">
        <v>373</v>
      </c>
      <c r="T40" s="72">
        <v>0</v>
      </c>
      <c r="U40" s="157">
        <v>0</v>
      </c>
      <c r="V40" s="157">
        <v>0</v>
      </c>
      <c r="W40" s="157">
        <v>0</v>
      </c>
      <c r="X40" s="157">
        <v>0</v>
      </c>
      <c r="Y40" s="157">
        <v>0</v>
      </c>
      <c r="Z40" s="157">
        <v>0</v>
      </c>
      <c r="AA40" s="157">
        <v>0</v>
      </c>
      <c r="AB40" s="157">
        <v>0</v>
      </c>
      <c r="AC40" s="157">
        <v>0</v>
      </c>
      <c r="AD40" s="157">
        <v>0</v>
      </c>
      <c r="AE40" s="157">
        <v>0</v>
      </c>
      <c r="AF40" s="157">
        <v>0</v>
      </c>
      <c r="AG40" s="157">
        <v>5</v>
      </c>
      <c r="AH40" s="157">
        <v>5</v>
      </c>
      <c r="AI40" s="157">
        <v>5</v>
      </c>
      <c r="AJ40" s="157">
        <v>5</v>
      </c>
      <c r="AK40" s="157">
        <v>5</v>
      </c>
      <c r="AL40" s="157">
        <v>5</v>
      </c>
      <c r="AM40" s="157">
        <v>5</v>
      </c>
      <c r="AN40" s="157">
        <v>5</v>
      </c>
      <c r="AO40" s="157">
        <v>5</v>
      </c>
      <c r="AP40" s="157">
        <v>5</v>
      </c>
      <c r="AQ40" s="157">
        <v>5</v>
      </c>
      <c r="AR40" s="157">
        <v>5</v>
      </c>
      <c r="AS40" s="33">
        <v>5</v>
      </c>
    </row>
    <row r="41" spans="1:45" x14ac:dyDescent="0.2">
      <c r="A41" s="278"/>
      <c r="B41" s="247" t="str">
        <f t="shared" si="0"/>
        <v>5.11.4 / 7.12.3</v>
      </c>
      <c r="C41" s="231"/>
      <c r="D41" s="159" t="s">
        <v>32</v>
      </c>
      <c r="E41" s="159">
        <f t="shared" si="1"/>
        <v>0</v>
      </c>
      <c r="F41" s="159">
        <f t="shared" si="2"/>
        <v>5</v>
      </c>
      <c r="G41" s="161" t="s">
        <v>143</v>
      </c>
      <c r="H41" s="161">
        <v>1</v>
      </c>
      <c r="I41" s="168"/>
      <c r="J41" s="174" t="s">
        <v>164</v>
      </c>
      <c r="K41" s="175" t="s">
        <v>164</v>
      </c>
      <c r="M41" s="143" t="s">
        <v>349</v>
      </c>
      <c r="N41" s="144" t="s">
        <v>386</v>
      </c>
      <c r="O41" s="144" t="s">
        <v>399</v>
      </c>
      <c r="P41" s="144" t="s">
        <v>347</v>
      </c>
      <c r="Q41" s="144" t="s">
        <v>362</v>
      </c>
      <c r="R41" s="145" t="s">
        <v>373</v>
      </c>
      <c r="T41" s="72">
        <v>0</v>
      </c>
      <c r="U41" s="157">
        <v>0</v>
      </c>
      <c r="V41" s="157">
        <v>0</v>
      </c>
      <c r="W41" s="157">
        <v>0</v>
      </c>
      <c r="X41" s="157">
        <v>0</v>
      </c>
      <c r="Y41" s="157">
        <v>0</v>
      </c>
      <c r="Z41" s="157">
        <v>0</v>
      </c>
      <c r="AA41" s="157">
        <v>0</v>
      </c>
      <c r="AB41" s="157">
        <v>0</v>
      </c>
      <c r="AC41" s="157">
        <v>0</v>
      </c>
      <c r="AD41" s="157">
        <v>0</v>
      </c>
      <c r="AE41" s="157">
        <v>0</v>
      </c>
      <c r="AF41" s="157">
        <v>0</v>
      </c>
      <c r="AG41" s="157">
        <v>5</v>
      </c>
      <c r="AH41" s="157">
        <v>5</v>
      </c>
      <c r="AI41" s="157">
        <v>5</v>
      </c>
      <c r="AJ41" s="157">
        <v>5</v>
      </c>
      <c r="AK41" s="157">
        <v>5</v>
      </c>
      <c r="AL41" s="157">
        <v>5</v>
      </c>
      <c r="AM41" s="157">
        <v>5</v>
      </c>
      <c r="AN41" s="157">
        <v>5</v>
      </c>
      <c r="AO41" s="157">
        <v>5</v>
      </c>
      <c r="AP41" s="157">
        <v>5</v>
      </c>
      <c r="AQ41" s="157">
        <v>5</v>
      </c>
      <c r="AR41" s="157">
        <v>5</v>
      </c>
      <c r="AS41" s="33">
        <v>5</v>
      </c>
    </row>
    <row r="42" spans="1:45" x14ac:dyDescent="0.2">
      <c r="A42" s="278"/>
      <c r="B42" s="247" t="str">
        <f t="shared" si="0"/>
        <v>5.11.4 / 7.12.3</v>
      </c>
      <c r="C42" s="231"/>
      <c r="D42" s="159" t="s">
        <v>33</v>
      </c>
      <c r="E42" s="159">
        <f t="shared" si="1"/>
        <v>0</v>
      </c>
      <c r="F42" s="159">
        <f t="shared" si="2"/>
        <v>5</v>
      </c>
      <c r="G42" s="161" t="s">
        <v>143</v>
      </c>
      <c r="H42" s="161">
        <v>1</v>
      </c>
      <c r="I42" s="168"/>
      <c r="J42" s="174" t="s">
        <v>164</v>
      </c>
      <c r="K42" s="175" t="s">
        <v>164</v>
      </c>
      <c r="M42" s="143" t="s">
        <v>349</v>
      </c>
      <c r="N42" s="144" t="s">
        <v>386</v>
      </c>
      <c r="O42" s="144" t="s">
        <v>399</v>
      </c>
      <c r="P42" s="144" t="s">
        <v>347</v>
      </c>
      <c r="Q42" s="144" t="s">
        <v>362</v>
      </c>
      <c r="R42" s="145" t="s">
        <v>373</v>
      </c>
      <c r="T42" s="72">
        <v>0</v>
      </c>
      <c r="U42" s="157">
        <v>0</v>
      </c>
      <c r="V42" s="157">
        <v>0</v>
      </c>
      <c r="W42" s="157">
        <v>0</v>
      </c>
      <c r="X42" s="157">
        <v>0</v>
      </c>
      <c r="Y42" s="157">
        <v>0</v>
      </c>
      <c r="Z42" s="157">
        <v>0</v>
      </c>
      <c r="AA42" s="157">
        <v>0</v>
      </c>
      <c r="AB42" s="157">
        <v>0</v>
      </c>
      <c r="AC42" s="157">
        <v>0</v>
      </c>
      <c r="AD42" s="157">
        <v>0</v>
      </c>
      <c r="AE42" s="157">
        <v>0</v>
      </c>
      <c r="AF42" s="157">
        <v>0</v>
      </c>
      <c r="AG42" s="157">
        <v>5</v>
      </c>
      <c r="AH42" s="157">
        <v>5</v>
      </c>
      <c r="AI42" s="157">
        <v>5</v>
      </c>
      <c r="AJ42" s="157">
        <v>5</v>
      </c>
      <c r="AK42" s="157">
        <v>5</v>
      </c>
      <c r="AL42" s="157">
        <v>5</v>
      </c>
      <c r="AM42" s="157">
        <v>5</v>
      </c>
      <c r="AN42" s="157">
        <v>5</v>
      </c>
      <c r="AO42" s="157">
        <v>5</v>
      </c>
      <c r="AP42" s="157">
        <v>5</v>
      </c>
      <c r="AQ42" s="157">
        <v>5</v>
      </c>
      <c r="AR42" s="157">
        <v>5</v>
      </c>
      <c r="AS42" s="33">
        <v>5</v>
      </c>
    </row>
    <row r="43" spans="1:45" x14ac:dyDescent="0.2">
      <c r="A43" s="278"/>
      <c r="B43" s="247" t="str">
        <f t="shared" si="0"/>
        <v>5.11.4 / 7.12.3</v>
      </c>
      <c r="C43" s="231"/>
      <c r="D43" s="159" t="s">
        <v>34</v>
      </c>
      <c r="E43" s="159">
        <f t="shared" si="1"/>
        <v>0</v>
      </c>
      <c r="F43" s="159">
        <f t="shared" si="2"/>
        <v>5</v>
      </c>
      <c r="G43" s="161" t="s">
        <v>143</v>
      </c>
      <c r="H43" s="161">
        <v>1</v>
      </c>
      <c r="I43" s="168"/>
      <c r="J43" s="174" t="s">
        <v>164</v>
      </c>
      <c r="K43" s="175" t="s">
        <v>164</v>
      </c>
      <c r="M43" s="143" t="s">
        <v>349</v>
      </c>
      <c r="N43" s="144" t="s">
        <v>386</v>
      </c>
      <c r="O43" s="144" t="s">
        <v>399</v>
      </c>
      <c r="P43" s="144" t="s">
        <v>347</v>
      </c>
      <c r="Q43" s="144" t="s">
        <v>362</v>
      </c>
      <c r="R43" s="145" t="s">
        <v>373</v>
      </c>
      <c r="T43" s="72">
        <v>0</v>
      </c>
      <c r="U43" s="157">
        <v>0</v>
      </c>
      <c r="V43" s="157">
        <v>0</v>
      </c>
      <c r="W43" s="157">
        <v>0</v>
      </c>
      <c r="X43" s="157">
        <v>0</v>
      </c>
      <c r="Y43" s="157">
        <v>0</v>
      </c>
      <c r="Z43" s="157">
        <v>0</v>
      </c>
      <c r="AA43" s="157">
        <v>0</v>
      </c>
      <c r="AB43" s="157">
        <v>0</v>
      </c>
      <c r="AC43" s="157">
        <v>0</v>
      </c>
      <c r="AD43" s="157">
        <v>0</v>
      </c>
      <c r="AE43" s="157">
        <v>0</v>
      </c>
      <c r="AF43" s="157">
        <v>0</v>
      </c>
      <c r="AG43" s="157">
        <v>5</v>
      </c>
      <c r="AH43" s="157">
        <v>5</v>
      </c>
      <c r="AI43" s="157">
        <v>5</v>
      </c>
      <c r="AJ43" s="157">
        <v>5</v>
      </c>
      <c r="AK43" s="157">
        <v>5</v>
      </c>
      <c r="AL43" s="157">
        <v>5</v>
      </c>
      <c r="AM43" s="157">
        <v>5</v>
      </c>
      <c r="AN43" s="157">
        <v>5</v>
      </c>
      <c r="AO43" s="157">
        <v>5</v>
      </c>
      <c r="AP43" s="157">
        <v>5</v>
      </c>
      <c r="AQ43" s="157">
        <v>5</v>
      </c>
      <c r="AR43" s="157">
        <v>5</v>
      </c>
      <c r="AS43" s="33">
        <v>5</v>
      </c>
    </row>
    <row r="44" spans="1:45" x14ac:dyDescent="0.2">
      <c r="A44" s="278"/>
      <c r="B44" s="247" t="str">
        <f t="shared" si="0"/>
        <v>5.11.4 / 7.12.3</v>
      </c>
      <c r="C44" s="231"/>
      <c r="D44" s="159" t="s">
        <v>35</v>
      </c>
      <c r="E44" s="159">
        <f t="shared" si="1"/>
        <v>0</v>
      </c>
      <c r="F44" s="159">
        <f t="shared" si="2"/>
        <v>5</v>
      </c>
      <c r="G44" s="161" t="s">
        <v>143</v>
      </c>
      <c r="H44" s="161">
        <v>1</v>
      </c>
      <c r="I44" s="168"/>
      <c r="J44" s="174" t="s">
        <v>164</v>
      </c>
      <c r="K44" s="175" t="s">
        <v>164</v>
      </c>
      <c r="M44" s="143" t="s">
        <v>349</v>
      </c>
      <c r="N44" s="144" t="s">
        <v>386</v>
      </c>
      <c r="O44" s="144" t="s">
        <v>399</v>
      </c>
      <c r="P44" s="144" t="s">
        <v>347</v>
      </c>
      <c r="Q44" s="144" t="s">
        <v>362</v>
      </c>
      <c r="R44" s="145" t="s">
        <v>373</v>
      </c>
      <c r="T44" s="72">
        <v>0</v>
      </c>
      <c r="U44" s="157">
        <v>0</v>
      </c>
      <c r="V44" s="157">
        <v>0</v>
      </c>
      <c r="W44" s="157">
        <v>0</v>
      </c>
      <c r="X44" s="157">
        <v>0</v>
      </c>
      <c r="Y44" s="157">
        <v>0</v>
      </c>
      <c r="Z44" s="157">
        <v>0</v>
      </c>
      <c r="AA44" s="157">
        <v>0</v>
      </c>
      <c r="AB44" s="157">
        <v>0</v>
      </c>
      <c r="AC44" s="157">
        <v>0</v>
      </c>
      <c r="AD44" s="157">
        <v>0</v>
      </c>
      <c r="AE44" s="157">
        <v>0</v>
      </c>
      <c r="AF44" s="157">
        <v>0</v>
      </c>
      <c r="AG44" s="157">
        <v>5</v>
      </c>
      <c r="AH44" s="157">
        <v>5</v>
      </c>
      <c r="AI44" s="157">
        <v>5</v>
      </c>
      <c r="AJ44" s="157">
        <v>5</v>
      </c>
      <c r="AK44" s="157">
        <v>5</v>
      </c>
      <c r="AL44" s="157">
        <v>5</v>
      </c>
      <c r="AM44" s="157">
        <v>5</v>
      </c>
      <c r="AN44" s="157">
        <v>5</v>
      </c>
      <c r="AO44" s="157">
        <v>5</v>
      </c>
      <c r="AP44" s="157">
        <v>5</v>
      </c>
      <c r="AQ44" s="157">
        <v>5</v>
      </c>
      <c r="AR44" s="157">
        <v>5</v>
      </c>
      <c r="AS44" s="33">
        <v>5</v>
      </c>
    </row>
    <row r="45" spans="1:45" x14ac:dyDescent="0.2">
      <c r="A45" s="278"/>
      <c r="B45" s="247" t="str">
        <f t="shared" si="0"/>
        <v>5.11.4 / 7.12.3</v>
      </c>
      <c r="C45" s="231" t="s">
        <v>38</v>
      </c>
      <c r="D45" s="159" t="s">
        <v>29</v>
      </c>
      <c r="E45" s="159">
        <f t="shared" si="1"/>
        <v>0</v>
      </c>
      <c r="F45" s="159">
        <f t="shared" si="2"/>
        <v>5</v>
      </c>
      <c r="G45" s="161" t="s">
        <v>143</v>
      </c>
      <c r="H45" s="161">
        <v>1</v>
      </c>
      <c r="I45" s="168"/>
      <c r="J45" s="174" t="s">
        <v>164</v>
      </c>
      <c r="K45" s="175" t="s">
        <v>164</v>
      </c>
      <c r="M45" s="143" t="s">
        <v>349</v>
      </c>
      <c r="N45" s="144" t="s">
        <v>386</v>
      </c>
      <c r="O45" s="144" t="s">
        <v>399</v>
      </c>
      <c r="P45" s="144" t="s">
        <v>347</v>
      </c>
      <c r="Q45" s="144" t="s">
        <v>362</v>
      </c>
      <c r="R45" s="145" t="s">
        <v>373</v>
      </c>
      <c r="T45" s="72">
        <v>0</v>
      </c>
      <c r="U45" s="157">
        <v>0</v>
      </c>
      <c r="V45" s="157">
        <v>0</v>
      </c>
      <c r="W45" s="157">
        <v>0</v>
      </c>
      <c r="X45" s="157">
        <v>0</v>
      </c>
      <c r="Y45" s="157">
        <v>0</v>
      </c>
      <c r="Z45" s="157">
        <v>0</v>
      </c>
      <c r="AA45" s="157">
        <v>0</v>
      </c>
      <c r="AB45" s="157">
        <v>0</v>
      </c>
      <c r="AC45" s="157">
        <v>0</v>
      </c>
      <c r="AD45" s="157">
        <v>0</v>
      </c>
      <c r="AE45" s="157">
        <v>0</v>
      </c>
      <c r="AF45" s="157">
        <v>0</v>
      </c>
      <c r="AG45" s="157">
        <v>5</v>
      </c>
      <c r="AH45" s="157">
        <v>5</v>
      </c>
      <c r="AI45" s="157">
        <v>5</v>
      </c>
      <c r="AJ45" s="157">
        <v>5</v>
      </c>
      <c r="AK45" s="157">
        <v>5</v>
      </c>
      <c r="AL45" s="157">
        <v>5</v>
      </c>
      <c r="AM45" s="157">
        <v>5</v>
      </c>
      <c r="AN45" s="157">
        <v>5</v>
      </c>
      <c r="AO45" s="157">
        <v>5</v>
      </c>
      <c r="AP45" s="157">
        <v>5</v>
      </c>
      <c r="AQ45" s="157">
        <v>5</v>
      </c>
      <c r="AR45" s="157">
        <v>5</v>
      </c>
      <c r="AS45" s="33">
        <v>5</v>
      </c>
    </row>
    <row r="46" spans="1:45" x14ac:dyDescent="0.2">
      <c r="A46" s="278"/>
      <c r="B46" s="247" t="str">
        <f t="shared" si="0"/>
        <v>5.11.4 / 7.12.3</v>
      </c>
      <c r="C46" s="231"/>
      <c r="D46" s="159" t="s">
        <v>30</v>
      </c>
      <c r="E46" s="159">
        <f t="shared" si="1"/>
        <v>0</v>
      </c>
      <c r="F46" s="159">
        <f t="shared" si="2"/>
        <v>5</v>
      </c>
      <c r="G46" s="161" t="s">
        <v>143</v>
      </c>
      <c r="H46" s="161">
        <v>1</v>
      </c>
      <c r="I46" s="168"/>
      <c r="J46" s="174" t="s">
        <v>164</v>
      </c>
      <c r="K46" s="175" t="s">
        <v>164</v>
      </c>
      <c r="M46" s="143" t="s">
        <v>349</v>
      </c>
      <c r="N46" s="144" t="s">
        <v>386</v>
      </c>
      <c r="O46" s="144" t="s">
        <v>399</v>
      </c>
      <c r="P46" s="144" t="s">
        <v>347</v>
      </c>
      <c r="Q46" s="144" t="s">
        <v>362</v>
      </c>
      <c r="R46" s="145" t="s">
        <v>373</v>
      </c>
      <c r="T46" s="72">
        <v>0</v>
      </c>
      <c r="U46" s="157">
        <v>0</v>
      </c>
      <c r="V46" s="157">
        <v>0</v>
      </c>
      <c r="W46" s="157">
        <v>0</v>
      </c>
      <c r="X46" s="157">
        <v>0</v>
      </c>
      <c r="Y46" s="157">
        <v>0</v>
      </c>
      <c r="Z46" s="157">
        <v>0</v>
      </c>
      <c r="AA46" s="157">
        <v>0</v>
      </c>
      <c r="AB46" s="157">
        <v>0</v>
      </c>
      <c r="AC46" s="157">
        <v>0</v>
      </c>
      <c r="AD46" s="157">
        <v>0</v>
      </c>
      <c r="AE46" s="157">
        <v>0</v>
      </c>
      <c r="AF46" s="157">
        <v>0</v>
      </c>
      <c r="AG46" s="157">
        <v>5</v>
      </c>
      <c r="AH46" s="157">
        <v>5</v>
      </c>
      <c r="AI46" s="157">
        <v>5</v>
      </c>
      <c r="AJ46" s="157">
        <v>5</v>
      </c>
      <c r="AK46" s="157">
        <v>5</v>
      </c>
      <c r="AL46" s="157">
        <v>5</v>
      </c>
      <c r="AM46" s="157">
        <v>5</v>
      </c>
      <c r="AN46" s="157">
        <v>5</v>
      </c>
      <c r="AO46" s="157">
        <v>5</v>
      </c>
      <c r="AP46" s="157">
        <v>5</v>
      </c>
      <c r="AQ46" s="157">
        <v>5</v>
      </c>
      <c r="AR46" s="157">
        <v>5</v>
      </c>
      <c r="AS46" s="33">
        <v>5</v>
      </c>
    </row>
    <row r="47" spans="1:45" x14ac:dyDescent="0.2">
      <c r="A47" s="278"/>
      <c r="B47" s="247" t="str">
        <f t="shared" si="0"/>
        <v>5.11.4 / 7.12.3</v>
      </c>
      <c r="C47" s="231"/>
      <c r="D47" s="159" t="s">
        <v>31</v>
      </c>
      <c r="E47" s="159">
        <f t="shared" si="1"/>
        <v>0</v>
      </c>
      <c r="F47" s="159">
        <f t="shared" si="2"/>
        <v>5</v>
      </c>
      <c r="G47" s="161" t="s">
        <v>143</v>
      </c>
      <c r="H47" s="161">
        <v>1</v>
      </c>
      <c r="I47" s="168"/>
      <c r="J47" s="174" t="s">
        <v>164</v>
      </c>
      <c r="K47" s="175" t="s">
        <v>164</v>
      </c>
      <c r="M47" s="143" t="s">
        <v>349</v>
      </c>
      <c r="N47" s="144" t="s">
        <v>386</v>
      </c>
      <c r="O47" s="144" t="s">
        <v>399</v>
      </c>
      <c r="P47" s="144" t="s">
        <v>347</v>
      </c>
      <c r="Q47" s="144" t="s">
        <v>362</v>
      </c>
      <c r="R47" s="145" t="s">
        <v>373</v>
      </c>
      <c r="T47" s="72">
        <v>0</v>
      </c>
      <c r="U47" s="157">
        <v>0</v>
      </c>
      <c r="V47" s="157">
        <v>0</v>
      </c>
      <c r="W47" s="157">
        <v>0</v>
      </c>
      <c r="X47" s="157">
        <v>0</v>
      </c>
      <c r="Y47" s="157">
        <v>0</v>
      </c>
      <c r="Z47" s="157">
        <v>0</v>
      </c>
      <c r="AA47" s="157">
        <v>0</v>
      </c>
      <c r="AB47" s="157">
        <v>0</v>
      </c>
      <c r="AC47" s="157">
        <v>0</v>
      </c>
      <c r="AD47" s="157">
        <v>0</v>
      </c>
      <c r="AE47" s="157">
        <v>0</v>
      </c>
      <c r="AF47" s="157">
        <v>0</v>
      </c>
      <c r="AG47" s="157">
        <v>5</v>
      </c>
      <c r="AH47" s="157">
        <v>5</v>
      </c>
      <c r="AI47" s="157">
        <v>5</v>
      </c>
      <c r="AJ47" s="157">
        <v>5</v>
      </c>
      <c r="AK47" s="157">
        <v>5</v>
      </c>
      <c r="AL47" s="157">
        <v>5</v>
      </c>
      <c r="AM47" s="157">
        <v>5</v>
      </c>
      <c r="AN47" s="157">
        <v>5</v>
      </c>
      <c r="AO47" s="157">
        <v>5</v>
      </c>
      <c r="AP47" s="157">
        <v>5</v>
      </c>
      <c r="AQ47" s="157">
        <v>5</v>
      </c>
      <c r="AR47" s="157">
        <v>5</v>
      </c>
      <c r="AS47" s="33">
        <v>5</v>
      </c>
    </row>
    <row r="48" spans="1:45" x14ac:dyDescent="0.2">
      <c r="A48" s="278"/>
      <c r="B48" s="247" t="str">
        <f t="shared" si="0"/>
        <v>5.11.4 / 7.12.3</v>
      </c>
      <c r="C48" s="231"/>
      <c r="D48" s="159" t="s">
        <v>36</v>
      </c>
      <c r="E48" s="159">
        <f t="shared" si="1"/>
        <v>0</v>
      </c>
      <c r="F48" s="159">
        <f t="shared" si="2"/>
        <v>5</v>
      </c>
      <c r="G48" s="161" t="s">
        <v>143</v>
      </c>
      <c r="H48" s="161">
        <v>1</v>
      </c>
      <c r="I48" s="168"/>
      <c r="J48" s="174" t="s">
        <v>164</v>
      </c>
      <c r="K48" s="175" t="s">
        <v>164</v>
      </c>
      <c r="M48" s="143" t="s">
        <v>349</v>
      </c>
      <c r="N48" s="144" t="s">
        <v>386</v>
      </c>
      <c r="O48" s="144" t="s">
        <v>399</v>
      </c>
      <c r="P48" s="144" t="s">
        <v>347</v>
      </c>
      <c r="Q48" s="144" t="s">
        <v>362</v>
      </c>
      <c r="R48" s="145" t="s">
        <v>373</v>
      </c>
      <c r="T48" s="72">
        <v>0</v>
      </c>
      <c r="U48" s="157">
        <v>0</v>
      </c>
      <c r="V48" s="157">
        <v>0</v>
      </c>
      <c r="W48" s="157">
        <v>0</v>
      </c>
      <c r="X48" s="157">
        <v>0</v>
      </c>
      <c r="Y48" s="157">
        <v>0</v>
      </c>
      <c r="Z48" s="157">
        <v>0</v>
      </c>
      <c r="AA48" s="157">
        <v>0</v>
      </c>
      <c r="AB48" s="157">
        <v>0</v>
      </c>
      <c r="AC48" s="157">
        <v>0</v>
      </c>
      <c r="AD48" s="157">
        <v>0</v>
      </c>
      <c r="AE48" s="157">
        <v>0</v>
      </c>
      <c r="AF48" s="157">
        <v>0</v>
      </c>
      <c r="AG48" s="157">
        <v>5</v>
      </c>
      <c r="AH48" s="157">
        <v>5</v>
      </c>
      <c r="AI48" s="157">
        <v>5</v>
      </c>
      <c r="AJ48" s="157">
        <v>5</v>
      </c>
      <c r="AK48" s="157">
        <v>5</v>
      </c>
      <c r="AL48" s="157">
        <v>5</v>
      </c>
      <c r="AM48" s="157">
        <v>5</v>
      </c>
      <c r="AN48" s="157">
        <v>5</v>
      </c>
      <c r="AO48" s="157">
        <v>5</v>
      </c>
      <c r="AP48" s="157">
        <v>5</v>
      </c>
      <c r="AQ48" s="157">
        <v>5</v>
      </c>
      <c r="AR48" s="157">
        <v>5</v>
      </c>
      <c r="AS48" s="33">
        <v>5</v>
      </c>
    </row>
    <row r="49" spans="1:45" x14ac:dyDescent="0.2">
      <c r="A49" s="278"/>
      <c r="B49" s="247" t="str">
        <f t="shared" si="0"/>
        <v>5.11.4 / 7.12.3</v>
      </c>
      <c r="C49" s="231"/>
      <c r="D49" s="159" t="s">
        <v>32</v>
      </c>
      <c r="E49" s="159">
        <f t="shared" si="1"/>
        <v>0</v>
      </c>
      <c r="F49" s="159">
        <f t="shared" si="2"/>
        <v>5</v>
      </c>
      <c r="G49" s="161" t="s">
        <v>143</v>
      </c>
      <c r="H49" s="161">
        <v>1</v>
      </c>
      <c r="I49" s="168"/>
      <c r="J49" s="174" t="s">
        <v>164</v>
      </c>
      <c r="K49" s="175" t="s">
        <v>164</v>
      </c>
      <c r="M49" s="143" t="s">
        <v>349</v>
      </c>
      <c r="N49" s="144" t="s">
        <v>386</v>
      </c>
      <c r="O49" s="144" t="s">
        <v>399</v>
      </c>
      <c r="P49" s="144" t="s">
        <v>347</v>
      </c>
      <c r="Q49" s="144" t="s">
        <v>362</v>
      </c>
      <c r="R49" s="145" t="s">
        <v>373</v>
      </c>
      <c r="T49" s="72">
        <v>0</v>
      </c>
      <c r="U49" s="157">
        <v>0</v>
      </c>
      <c r="V49" s="157">
        <v>0</v>
      </c>
      <c r="W49" s="157">
        <v>0</v>
      </c>
      <c r="X49" s="157">
        <v>0</v>
      </c>
      <c r="Y49" s="157">
        <v>0</v>
      </c>
      <c r="Z49" s="157">
        <v>0</v>
      </c>
      <c r="AA49" s="157">
        <v>0</v>
      </c>
      <c r="AB49" s="157">
        <v>0</v>
      </c>
      <c r="AC49" s="157">
        <v>0</v>
      </c>
      <c r="AD49" s="157">
        <v>0</v>
      </c>
      <c r="AE49" s="157">
        <v>0</v>
      </c>
      <c r="AF49" s="157">
        <v>0</v>
      </c>
      <c r="AG49" s="157">
        <v>5</v>
      </c>
      <c r="AH49" s="157">
        <v>5</v>
      </c>
      <c r="AI49" s="157">
        <v>5</v>
      </c>
      <c r="AJ49" s="157">
        <v>5</v>
      </c>
      <c r="AK49" s="157">
        <v>5</v>
      </c>
      <c r="AL49" s="157">
        <v>5</v>
      </c>
      <c r="AM49" s="157">
        <v>5</v>
      </c>
      <c r="AN49" s="157">
        <v>5</v>
      </c>
      <c r="AO49" s="157">
        <v>5</v>
      </c>
      <c r="AP49" s="157">
        <v>5</v>
      </c>
      <c r="AQ49" s="157">
        <v>5</v>
      </c>
      <c r="AR49" s="157">
        <v>5</v>
      </c>
      <c r="AS49" s="33">
        <v>5</v>
      </c>
    </row>
    <row r="50" spans="1:45" x14ac:dyDescent="0.2">
      <c r="A50" s="278"/>
      <c r="B50" s="247" t="str">
        <f t="shared" si="0"/>
        <v>5.11.4 / 7.12.3</v>
      </c>
      <c r="C50" s="231"/>
      <c r="D50" s="159" t="s">
        <v>33</v>
      </c>
      <c r="E50" s="159">
        <f t="shared" si="1"/>
        <v>0</v>
      </c>
      <c r="F50" s="159">
        <f t="shared" si="2"/>
        <v>5</v>
      </c>
      <c r="G50" s="161" t="s">
        <v>143</v>
      </c>
      <c r="H50" s="161">
        <v>1</v>
      </c>
      <c r="I50" s="168"/>
      <c r="J50" s="174" t="s">
        <v>164</v>
      </c>
      <c r="K50" s="175" t="s">
        <v>164</v>
      </c>
      <c r="M50" s="143" t="s">
        <v>349</v>
      </c>
      <c r="N50" s="144" t="s">
        <v>386</v>
      </c>
      <c r="O50" s="144" t="s">
        <v>399</v>
      </c>
      <c r="P50" s="144" t="s">
        <v>347</v>
      </c>
      <c r="Q50" s="144" t="s">
        <v>362</v>
      </c>
      <c r="R50" s="145" t="s">
        <v>373</v>
      </c>
      <c r="T50" s="72">
        <v>0</v>
      </c>
      <c r="U50" s="157">
        <v>0</v>
      </c>
      <c r="V50" s="157">
        <v>0</v>
      </c>
      <c r="W50" s="157">
        <v>0</v>
      </c>
      <c r="X50" s="157">
        <v>0</v>
      </c>
      <c r="Y50" s="157">
        <v>0</v>
      </c>
      <c r="Z50" s="157">
        <v>0</v>
      </c>
      <c r="AA50" s="157">
        <v>0</v>
      </c>
      <c r="AB50" s="157">
        <v>0</v>
      </c>
      <c r="AC50" s="157">
        <v>0</v>
      </c>
      <c r="AD50" s="157">
        <v>0</v>
      </c>
      <c r="AE50" s="157">
        <v>0</v>
      </c>
      <c r="AF50" s="157">
        <v>0</v>
      </c>
      <c r="AG50" s="157">
        <v>5</v>
      </c>
      <c r="AH50" s="157">
        <v>5</v>
      </c>
      <c r="AI50" s="157">
        <v>5</v>
      </c>
      <c r="AJ50" s="157">
        <v>5</v>
      </c>
      <c r="AK50" s="157">
        <v>5</v>
      </c>
      <c r="AL50" s="157">
        <v>5</v>
      </c>
      <c r="AM50" s="157">
        <v>5</v>
      </c>
      <c r="AN50" s="157">
        <v>5</v>
      </c>
      <c r="AO50" s="157">
        <v>5</v>
      </c>
      <c r="AP50" s="157">
        <v>5</v>
      </c>
      <c r="AQ50" s="157">
        <v>5</v>
      </c>
      <c r="AR50" s="157">
        <v>5</v>
      </c>
      <c r="AS50" s="33">
        <v>5</v>
      </c>
    </row>
    <row r="51" spans="1:45" x14ac:dyDescent="0.2">
      <c r="A51" s="278"/>
      <c r="B51" s="247" t="str">
        <f t="shared" si="0"/>
        <v>5.11.4 / 7.12.3</v>
      </c>
      <c r="C51" s="231"/>
      <c r="D51" s="159" t="s">
        <v>34</v>
      </c>
      <c r="E51" s="159">
        <f t="shared" si="1"/>
        <v>0</v>
      </c>
      <c r="F51" s="159">
        <f t="shared" si="2"/>
        <v>5</v>
      </c>
      <c r="G51" s="161" t="s">
        <v>143</v>
      </c>
      <c r="H51" s="161">
        <v>1</v>
      </c>
      <c r="I51" s="168"/>
      <c r="J51" s="174" t="s">
        <v>164</v>
      </c>
      <c r="K51" s="175" t="s">
        <v>164</v>
      </c>
      <c r="M51" s="143" t="s">
        <v>349</v>
      </c>
      <c r="N51" s="144" t="s">
        <v>386</v>
      </c>
      <c r="O51" s="144" t="s">
        <v>399</v>
      </c>
      <c r="P51" s="144" t="s">
        <v>347</v>
      </c>
      <c r="Q51" s="144" t="s">
        <v>362</v>
      </c>
      <c r="R51" s="145" t="s">
        <v>373</v>
      </c>
      <c r="T51" s="72">
        <v>0</v>
      </c>
      <c r="U51" s="157">
        <v>0</v>
      </c>
      <c r="V51" s="157">
        <v>0</v>
      </c>
      <c r="W51" s="157">
        <v>0</v>
      </c>
      <c r="X51" s="157">
        <v>0</v>
      </c>
      <c r="Y51" s="157">
        <v>0</v>
      </c>
      <c r="Z51" s="157">
        <v>0</v>
      </c>
      <c r="AA51" s="157">
        <v>0</v>
      </c>
      <c r="AB51" s="157">
        <v>0</v>
      </c>
      <c r="AC51" s="157">
        <v>0</v>
      </c>
      <c r="AD51" s="157">
        <v>0</v>
      </c>
      <c r="AE51" s="157">
        <v>0</v>
      </c>
      <c r="AF51" s="157">
        <v>0</v>
      </c>
      <c r="AG51" s="157">
        <v>5</v>
      </c>
      <c r="AH51" s="157">
        <v>5</v>
      </c>
      <c r="AI51" s="157">
        <v>5</v>
      </c>
      <c r="AJ51" s="157">
        <v>5</v>
      </c>
      <c r="AK51" s="157">
        <v>5</v>
      </c>
      <c r="AL51" s="157">
        <v>5</v>
      </c>
      <c r="AM51" s="157">
        <v>5</v>
      </c>
      <c r="AN51" s="157">
        <v>5</v>
      </c>
      <c r="AO51" s="157">
        <v>5</v>
      </c>
      <c r="AP51" s="157">
        <v>5</v>
      </c>
      <c r="AQ51" s="157">
        <v>5</v>
      </c>
      <c r="AR51" s="157">
        <v>5</v>
      </c>
      <c r="AS51" s="33">
        <v>5</v>
      </c>
    </row>
    <row r="52" spans="1:45" ht="15" thickBot="1" x14ac:dyDescent="0.25">
      <c r="A52" s="279"/>
      <c r="B52" s="248" t="str">
        <f t="shared" si="0"/>
        <v>5.11.4 / 7.12.3</v>
      </c>
      <c r="C52" s="246"/>
      <c r="D52" s="160" t="s">
        <v>35</v>
      </c>
      <c r="E52" s="160">
        <f t="shared" si="1"/>
        <v>0</v>
      </c>
      <c r="F52" s="160">
        <f t="shared" si="2"/>
        <v>5</v>
      </c>
      <c r="G52" s="162" t="s">
        <v>143</v>
      </c>
      <c r="H52" s="162">
        <v>1</v>
      </c>
      <c r="I52" s="170"/>
      <c r="J52" s="176" t="s">
        <v>164</v>
      </c>
      <c r="K52" s="177" t="s">
        <v>164</v>
      </c>
      <c r="M52" s="146" t="s">
        <v>349</v>
      </c>
      <c r="N52" s="147" t="s">
        <v>386</v>
      </c>
      <c r="O52" s="147" t="s">
        <v>399</v>
      </c>
      <c r="P52" s="147" t="s">
        <v>347</v>
      </c>
      <c r="Q52" s="147" t="s">
        <v>362</v>
      </c>
      <c r="R52" s="148" t="s">
        <v>373</v>
      </c>
      <c r="T52" s="66">
        <v>0</v>
      </c>
      <c r="U52" s="158">
        <v>0</v>
      </c>
      <c r="V52" s="158">
        <v>0</v>
      </c>
      <c r="W52" s="158">
        <v>0</v>
      </c>
      <c r="X52" s="158">
        <v>0</v>
      </c>
      <c r="Y52" s="158">
        <v>0</v>
      </c>
      <c r="Z52" s="158">
        <v>0</v>
      </c>
      <c r="AA52" s="158">
        <v>0</v>
      </c>
      <c r="AB52" s="158">
        <v>0</v>
      </c>
      <c r="AC52" s="158">
        <v>0</v>
      </c>
      <c r="AD52" s="158">
        <v>0</v>
      </c>
      <c r="AE52" s="158">
        <v>0</v>
      </c>
      <c r="AF52" s="158">
        <v>0</v>
      </c>
      <c r="AG52" s="158">
        <v>5</v>
      </c>
      <c r="AH52" s="158">
        <v>5</v>
      </c>
      <c r="AI52" s="158">
        <v>5</v>
      </c>
      <c r="AJ52" s="158">
        <v>5</v>
      </c>
      <c r="AK52" s="158">
        <v>5</v>
      </c>
      <c r="AL52" s="158">
        <v>5</v>
      </c>
      <c r="AM52" s="158">
        <v>5</v>
      </c>
      <c r="AN52" s="158">
        <v>5</v>
      </c>
      <c r="AO52" s="158">
        <v>5</v>
      </c>
      <c r="AP52" s="158">
        <v>5</v>
      </c>
      <c r="AQ52" s="158">
        <v>5</v>
      </c>
      <c r="AR52" s="158">
        <v>5</v>
      </c>
      <c r="AS52" s="34">
        <v>5</v>
      </c>
    </row>
    <row r="53" spans="1:45" s="2" customFormat="1" ht="15" thickBot="1" x14ac:dyDescent="0.25">
      <c r="A53" s="249" t="s">
        <v>110</v>
      </c>
      <c r="B53" s="250"/>
      <c r="C53" s="250"/>
      <c r="D53" s="250"/>
      <c r="E53" s="250"/>
      <c r="F53" s="250"/>
      <c r="G53" s="250"/>
      <c r="H53" s="250"/>
      <c r="I53" s="250"/>
      <c r="J53" s="250"/>
      <c r="K53" s="251"/>
      <c r="M53" s="154" t="s">
        <v>374</v>
      </c>
      <c r="N53" s="155" t="s">
        <v>108</v>
      </c>
      <c r="O53" s="155" t="s">
        <v>140</v>
      </c>
      <c r="P53" s="155" t="s">
        <v>374</v>
      </c>
      <c r="Q53" s="155" t="s">
        <v>108</v>
      </c>
      <c r="R53" s="153" t="s">
        <v>140</v>
      </c>
      <c r="T53" s="154" t="s">
        <v>41</v>
      </c>
      <c r="U53" s="155" t="s">
        <v>43</v>
      </c>
      <c r="V53" s="155" t="s">
        <v>41</v>
      </c>
      <c r="W53" s="155" t="s">
        <v>43</v>
      </c>
      <c r="X53" s="155" t="s">
        <v>42</v>
      </c>
      <c r="Y53" s="155" t="s">
        <v>45</v>
      </c>
      <c r="Z53" s="155" t="s">
        <v>53</v>
      </c>
      <c r="AA53" s="152" t="s">
        <v>142</v>
      </c>
      <c r="AB53" s="152" t="s">
        <v>141</v>
      </c>
      <c r="AC53" s="152" t="s">
        <v>139</v>
      </c>
      <c r="AD53" s="152" t="s">
        <v>44</v>
      </c>
      <c r="AE53" s="155" t="s">
        <v>108</v>
      </c>
      <c r="AF53" s="155" t="s">
        <v>140</v>
      </c>
      <c r="AG53" s="155" t="s">
        <v>41</v>
      </c>
      <c r="AH53" s="155" t="s">
        <v>43</v>
      </c>
      <c r="AI53" s="155" t="s">
        <v>41</v>
      </c>
      <c r="AJ53" s="155" t="s">
        <v>43</v>
      </c>
      <c r="AK53" s="155" t="s">
        <v>42</v>
      </c>
      <c r="AL53" s="155" t="s">
        <v>45</v>
      </c>
      <c r="AM53" s="155" t="s">
        <v>53</v>
      </c>
      <c r="AN53" s="152" t="s">
        <v>142</v>
      </c>
      <c r="AO53" s="152" t="s">
        <v>141</v>
      </c>
      <c r="AP53" s="152" t="s">
        <v>139</v>
      </c>
      <c r="AQ53" s="152" t="s">
        <v>44</v>
      </c>
      <c r="AR53" s="155" t="s">
        <v>108</v>
      </c>
      <c r="AS53" s="153" t="s">
        <v>140</v>
      </c>
    </row>
    <row r="54" spans="1:45" ht="15" thickTop="1" x14ac:dyDescent="0.2">
      <c r="A54" s="239" t="s">
        <v>227</v>
      </c>
      <c r="B54" s="242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 ""," / "&amp;HLOOKUP(SUBSTITUTE(SUBSTITUTE(SUBSTITUTE(SUBSTITUTE(SUBSTITUTE(VCBW,"AMR_",""),"EVS_",""),"SO3_",""),"SO68_",""),"SO73_",""),$P$3:$R$57,ROW(B54)-ROW($P$3)+1,FALSE))</f>
        <v>P.863</v>
      </c>
      <c r="C54" s="156" t="s">
        <v>11</v>
      </c>
      <c r="D54" s="156"/>
      <c r="E54" s="156">
        <f>HLOOKUP(IF(OR("GSM"=Network,"WCDMA"=Network),"UMTS",IF(OR("VoLTE"=Network,"VoNR"=Network,"VoWiFi"=Network),"VoIMS",Network))&amp;" "&amp;VCBW,$T$3:$AF$57,ROW(E54)-ROW($T$3)+1,FALSE)</f>
        <v>3.2</v>
      </c>
      <c r="F54" s="156">
        <f>HLOOKUP(IF(OR("GSM"=Network,"WCDMA"=Network),"UMTS",IF(OR("VoLTE"=Network,"VoNR"=Network,"VoWiFi"=Network),"VoIMS",Network))&amp;" "&amp;VCBW,$AG$3:$AS$57,ROW(E54)-ROW($AG$3)+1,FALSE)</f>
        <v>3.8</v>
      </c>
      <c r="G54" s="164" t="s">
        <v>21</v>
      </c>
      <c r="H54" s="156">
        <v>1</v>
      </c>
      <c r="I54" s="172"/>
      <c r="J54" s="172" t="s">
        <v>164</v>
      </c>
      <c r="K54" s="173" t="s">
        <v>164</v>
      </c>
      <c r="M54" s="143" t="s">
        <v>553</v>
      </c>
      <c r="N54" s="144" t="s">
        <v>553</v>
      </c>
      <c r="O54" s="144" t="s">
        <v>553</v>
      </c>
      <c r="P54" s="144"/>
      <c r="Q54" s="144"/>
      <c r="R54" s="145"/>
      <c r="T54" s="72">
        <v>3.2</v>
      </c>
      <c r="U54" s="157">
        <v>3.9</v>
      </c>
      <c r="V54" s="157">
        <v>3.2</v>
      </c>
      <c r="W54" s="157">
        <v>3.9</v>
      </c>
      <c r="X54" s="157">
        <v>3.2</v>
      </c>
      <c r="Y54" s="157">
        <v>3.9</v>
      </c>
      <c r="Z54" s="157">
        <v>3.9</v>
      </c>
      <c r="AA54" s="157">
        <v>3.2</v>
      </c>
      <c r="AB54" s="157">
        <v>3.2</v>
      </c>
      <c r="AC54" s="157">
        <v>3.2</v>
      </c>
      <c r="AD54" s="157">
        <v>3.9</v>
      </c>
      <c r="AE54" s="157">
        <v>3.9</v>
      </c>
      <c r="AF54" s="157">
        <v>3.9</v>
      </c>
      <c r="AG54" s="157">
        <v>3.8</v>
      </c>
      <c r="AH54" s="157">
        <v>4.5</v>
      </c>
      <c r="AI54" s="157">
        <v>3.8</v>
      </c>
      <c r="AJ54" s="157">
        <v>4.5</v>
      </c>
      <c r="AK54" s="157">
        <v>3.8</v>
      </c>
      <c r="AL54" s="157">
        <v>4.5</v>
      </c>
      <c r="AM54" s="157">
        <v>4.8</v>
      </c>
      <c r="AN54" s="157">
        <v>3.8</v>
      </c>
      <c r="AO54" s="157">
        <v>3.8</v>
      </c>
      <c r="AP54" s="157">
        <v>3.8</v>
      </c>
      <c r="AQ54" s="157">
        <v>4.5</v>
      </c>
      <c r="AR54" s="157">
        <v>4.5</v>
      </c>
      <c r="AS54" s="33">
        <v>4.8</v>
      </c>
    </row>
    <row r="55" spans="1:45" x14ac:dyDescent="0.2">
      <c r="A55" s="240"/>
      <c r="B55" s="243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 ""," / "&amp;HLOOKUP(SUBSTITUTE(SUBSTITUTE(SUBSTITUTE(SUBSTITUTE(SUBSTITUTE(VCBW,"AMR_",""),"EVS_",""),"SO3_",""),"SO68_",""),"SO73_",""),$P$3:$R$57,ROW(B55)-ROW($P$3)+1,FALSE))</f>
        <v>P.863</v>
      </c>
      <c r="C55" s="243" t="s">
        <v>145</v>
      </c>
      <c r="D55" s="157" t="s">
        <v>146</v>
      </c>
      <c r="E55" s="157">
        <f>HLOOKUP(IF(OR("GSM"=Network,"WCDMA"=Network),"UMTS",IF(OR("VoLTE"=Network,"VoNR"=Network,"VoWiFi"=Network),"VoIMS",Network))&amp;" "&amp;VCBW,$T$3:$AF$57,ROW(E55)-ROW($T$3)+1,FALSE)</f>
        <v>3.2</v>
      </c>
      <c r="F55" s="157">
        <f>HLOOKUP(IF(OR("GSM"=Network,"WCDMA"=Network),"UMTS",IF(OR("VoLTE"=Network,"VoNR"=Network,"VoWiFi"=Network),"VoIMS",Network))&amp;" "&amp;VCBW,$AG$3:$AS$57,ROW(E55)-ROW($AG$3)+1,FALSE)</f>
        <v>3.8</v>
      </c>
      <c r="G55" s="159" t="s">
        <v>21</v>
      </c>
      <c r="H55" s="157">
        <v>1</v>
      </c>
      <c r="I55" s="174"/>
      <c r="J55" s="174" t="s">
        <v>164</v>
      </c>
      <c r="K55" s="175" t="s">
        <v>164</v>
      </c>
      <c r="M55" s="143" t="s">
        <v>553</v>
      </c>
      <c r="N55" s="144" t="s">
        <v>553</v>
      </c>
      <c r="O55" s="144" t="s">
        <v>553</v>
      </c>
      <c r="P55" s="144"/>
      <c r="Q55" s="144"/>
      <c r="R55" s="145"/>
      <c r="T55" s="72">
        <v>3.2</v>
      </c>
      <c r="U55" s="157">
        <v>3.7</v>
      </c>
      <c r="V55" s="157">
        <v>3.2</v>
      </c>
      <c r="W55" s="157">
        <v>3.7</v>
      </c>
      <c r="X55" s="157">
        <v>3.2</v>
      </c>
      <c r="Y55" s="157">
        <v>3.7</v>
      </c>
      <c r="Z55" s="157">
        <v>3.7</v>
      </c>
      <c r="AA55" s="157">
        <v>3.2</v>
      </c>
      <c r="AB55" s="157">
        <v>3.2</v>
      </c>
      <c r="AC55" s="157">
        <v>3.2</v>
      </c>
      <c r="AD55" s="157">
        <v>3.7</v>
      </c>
      <c r="AE55" s="157">
        <v>3.7</v>
      </c>
      <c r="AF55" s="157">
        <v>3.7</v>
      </c>
      <c r="AG55" s="157">
        <v>3.8</v>
      </c>
      <c r="AH55" s="157">
        <v>4.5</v>
      </c>
      <c r="AI55" s="157">
        <v>3.8</v>
      </c>
      <c r="AJ55" s="157">
        <v>4.5</v>
      </c>
      <c r="AK55" s="157">
        <v>3.8</v>
      </c>
      <c r="AL55" s="157">
        <v>4.5</v>
      </c>
      <c r="AM55" s="157">
        <v>4.8</v>
      </c>
      <c r="AN55" s="157">
        <v>3.8</v>
      </c>
      <c r="AO55" s="157">
        <v>3.8</v>
      </c>
      <c r="AP55" s="157">
        <v>3.8</v>
      </c>
      <c r="AQ55" s="157">
        <v>4.5</v>
      </c>
      <c r="AR55" s="157">
        <v>4.5</v>
      </c>
      <c r="AS55" s="33">
        <v>4.8</v>
      </c>
    </row>
    <row r="56" spans="1:45" x14ac:dyDescent="0.2">
      <c r="A56" s="240"/>
      <c r="B56" s="243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 ""," / "&amp;HLOOKUP(SUBSTITUTE(SUBSTITUTE(SUBSTITUTE(SUBSTITUTE(SUBSTITUTE(VCBW,"AMR_",""),"EVS_",""),"SO3_",""),"SO68_",""),"SO73_",""),$P$3:$R$57,ROW(B56)-ROW($P$3)+1,FALSE))</f>
        <v>P.863</v>
      </c>
      <c r="C56" s="243"/>
      <c r="D56" s="157" t="s">
        <v>147</v>
      </c>
      <c r="E56" s="157">
        <f>HLOOKUP(IF(OR("GSM"=Network,"WCDMA"=Network),"UMTS",IF(OR("VoLTE"=Network,"VoNR"=Network,"VoWiFi"=Network),"VoIMS",Network))&amp;" "&amp;VCBW,$T$3:$AF$57,ROW(E56)-ROW($T$3)+1,FALSE)</f>
        <v>3.2</v>
      </c>
      <c r="F56" s="157">
        <f>HLOOKUP(IF(OR("GSM"=Network,"WCDMA"=Network),"UMTS",IF(OR("VoLTE"=Network,"VoNR"=Network,"VoWiFi"=Network),"VoIMS",Network))&amp;" "&amp;VCBW,$AG$3:$AS$57,ROW(E56)-ROW($AG$3)+1,FALSE)</f>
        <v>3.8</v>
      </c>
      <c r="G56" s="159" t="s">
        <v>21</v>
      </c>
      <c r="H56" s="157">
        <v>1</v>
      </c>
      <c r="I56" s="174"/>
      <c r="J56" s="174" t="s">
        <v>164</v>
      </c>
      <c r="K56" s="175" t="s">
        <v>164</v>
      </c>
      <c r="M56" s="143" t="s">
        <v>553</v>
      </c>
      <c r="N56" s="144" t="s">
        <v>553</v>
      </c>
      <c r="O56" s="144" t="s">
        <v>553</v>
      </c>
      <c r="P56" s="144"/>
      <c r="Q56" s="144"/>
      <c r="R56" s="145"/>
      <c r="T56" s="72">
        <v>3.2</v>
      </c>
      <c r="U56" s="157">
        <v>3.7</v>
      </c>
      <c r="V56" s="157">
        <v>3.2</v>
      </c>
      <c r="W56" s="157">
        <v>3.7</v>
      </c>
      <c r="X56" s="157">
        <v>3.2</v>
      </c>
      <c r="Y56" s="157">
        <v>3.7</v>
      </c>
      <c r="Z56" s="157">
        <v>3.7</v>
      </c>
      <c r="AA56" s="157">
        <v>3.2</v>
      </c>
      <c r="AB56" s="157">
        <v>3.2</v>
      </c>
      <c r="AC56" s="157">
        <v>3.2</v>
      </c>
      <c r="AD56" s="157">
        <v>3.7</v>
      </c>
      <c r="AE56" s="157">
        <v>3.7</v>
      </c>
      <c r="AF56" s="157">
        <v>3.7</v>
      </c>
      <c r="AG56" s="157">
        <v>3.8</v>
      </c>
      <c r="AH56" s="157">
        <v>4.5</v>
      </c>
      <c r="AI56" s="157">
        <v>3.8</v>
      </c>
      <c r="AJ56" s="157">
        <v>4.5</v>
      </c>
      <c r="AK56" s="157">
        <v>3.8</v>
      </c>
      <c r="AL56" s="157">
        <v>4.5</v>
      </c>
      <c r="AM56" s="157">
        <v>4.8</v>
      </c>
      <c r="AN56" s="157">
        <v>3.8</v>
      </c>
      <c r="AO56" s="157">
        <v>3.8</v>
      </c>
      <c r="AP56" s="157">
        <v>3.8</v>
      </c>
      <c r="AQ56" s="157">
        <v>4.5</v>
      </c>
      <c r="AR56" s="157">
        <v>4.5</v>
      </c>
      <c r="AS56" s="33">
        <v>4.8</v>
      </c>
    </row>
    <row r="57" spans="1:45" ht="15" thickBot="1" x14ac:dyDescent="0.25">
      <c r="A57" s="241"/>
      <c r="B57" s="244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 ""," / "&amp;HLOOKUP(SUBSTITUTE(SUBSTITUTE(SUBSTITUTE(SUBSTITUTE(SUBSTITUTE(VCBW,"AMR_",""),"EVS_",""),"SO3_",""),"SO68_",""),"SO73_",""),$P$3:$R$57,ROW(B57)-ROW($P$3)+1,FALSE))</f>
        <v>P.863</v>
      </c>
      <c r="C57" s="244"/>
      <c r="D57" s="158" t="s">
        <v>148</v>
      </c>
      <c r="E57" s="158">
        <f>HLOOKUP(IF(OR("GSM"=Network,"WCDMA"=Network),"UMTS",IF(OR("VoLTE"=Network,"VoNR"=Network,"VoWiFi"=Network),"VoIMS",Network))&amp;" "&amp;VCBW,$T$3:$AF$57,ROW(E57)-ROW($T$3)+1,FALSE)</f>
        <v>3.2</v>
      </c>
      <c r="F57" s="158">
        <f>HLOOKUP(IF(OR("GSM"=Network,"WCDMA"=Network),"UMTS",IF(OR("VoLTE"=Network,"VoNR"=Network,"VoWiFi"=Network),"VoIMS",Network))&amp;" "&amp;VCBW,$AG$3:$AS$57,ROW(E57)-ROW($AG$3)+1,FALSE)</f>
        <v>3.8</v>
      </c>
      <c r="G57" s="160" t="s">
        <v>21</v>
      </c>
      <c r="H57" s="158">
        <v>1</v>
      </c>
      <c r="I57" s="176"/>
      <c r="J57" s="176" t="s">
        <v>164</v>
      </c>
      <c r="K57" s="177" t="s">
        <v>164</v>
      </c>
      <c r="M57" s="146" t="s">
        <v>553</v>
      </c>
      <c r="N57" s="147" t="s">
        <v>553</v>
      </c>
      <c r="O57" s="147" t="s">
        <v>553</v>
      </c>
      <c r="P57" s="147"/>
      <c r="Q57" s="147"/>
      <c r="R57" s="148"/>
      <c r="T57" s="66">
        <v>3.2</v>
      </c>
      <c r="U57" s="158">
        <v>3.7</v>
      </c>
      <c r="V57" s="158">
        <v>3.2</v>
      </c>
      <c r="W57" s="158">
        <v>3.7</v>
      </c>
      <c r="X57" s="158">
        <v>3.2</v>
      </c>
      <c r="Y57" s="158">
        <v>3.7</v>
      </c>
      <c r="Z57" s="158">
        <v>3.7</v>
      </c>
      <c r="AA57" s="158">
        <v>3.2</v>
      </c>
      <c r="AB57" s="158">
        <v>3.2</v>
      </c>
      <c r="AC57" s="158">
        <v>3.2</v>
      </c>
      <c r="AD57" s="158">
        <v>3.7</v>
      </c>
      <c r="AE57" s="158">
        <v>3.7</v>
      </c>
      <c r="AF57" s="158">
        <v>3.7</v>
      </c>
      <c r="AG57" s="158">
        <v>3.8</v>
      </c>
      <c r="AH57" s="158">
        <v>4.5</v>
      </c>
      <c r="AI57" s="158">
        <v>3.8</v>
      </c>
      <c r="AJ57" s="158">
        <v>4.5</v>
      </c>
      <c r="AK57" s="158">
        <v>3.8</v>
      </c>
      <c r="AL57" s="158">
        <v>4.5</v>
      </c>
      <c r="AM57" s="158">
        <v>4.8</v>
      </c>
      <c r="AN57" s="158">
        <v>3.8</v>
      </c>
      <c r="AO57" s="158">
        <v>3.8</v>
      </c>
      <c r="AP57" s="158">
        <v>3.8</v>
      </c>
      <c r="AQ57" s="158">
        <v>4.5</v>
      </c>
      <c r="AR57" s="158">
        <v>4.5</v>
      </c>
      <c r="AS57" s="34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dataConsolidate/>
  <mergeCells count="60">
    <mergeCell ref="O3:O4"/>
    <mergeCell ref="A1:H1"/>
    <mergeCell ref="A3:D3"/>
    <mergeCell ref="E3:H3"/>
    <mergeCell ref="M3:M4"/>
    <mergeCell ref="N3:N4"/>
    <mergeCell ref="AB3:AB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N3:AN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O3:AO4"/>
    <mergeCell ref="AP3:AP4"/>
    <mergeCell ref="AQ3:AQ4"/>
    <mergeCell ref="AR3:AR4"/>
    <mergeCell ref="AS3:AS4"/>
    <mergeCell ref="A5:K5"/>
    <mergeCell ref="A6:A14"/>
    <mergeCell ref="B7:B14"/>
    <mergeCell ref="C7:C14"/>
    <mergeCell ref="A15:A19"/>
    <mergeCell ref="B15:B16"/>
    <mergeCell ref="C15:C16"/>
    <mergeCell ref="B17:B19"/>
    <mergeCell ref="C17:C19"/>
    <mergeCell ref="A20:A21"/>
    <mergeCell ref="A23:A26"/>
    <mergeCell ref="B23:B24"/>
    <mergeCell ref="B25:B26"/>
    <mergeCell ref="A28:A33"/>
    <mergeCell ref="B28:B33"/>
    <mergeCell ref="B54:B57"/>
    <mergeCell ref="C55:C57"/>
    <mergeCell ref="C28:C29"/>
    <mergeCell ref="C31:C32"/>
    <mergeCell ref="A34:A52"/>
    <mergeCell ref="B34:B52"/>
    <mergeCell ref="C37:C44"/>
    <mergeCell ref="C45:C52"/>
    <mergeCell ref="A53:K53"/>
    <mergeCell ref="A54:A57"/>
  </mergeCells>
  <phoneticPr fontId="1" type="noConversion"/>
  <conditionalFormatting sqref="I6:K52">
    <cfRule type="cellIs" dxfId="11" priority="7" stopIfTrue="1" operator="equal">
      <formula>"×"</formula>
    </cfRule>
    <cfRule type="containsBlanks" priority="8" stopIfTrue="1">
      <formula>LEN(TRIM(I6))=0</formula>
    </cfRule>
    <cfRule type="expression" dxfId="10" priority="9" stopIfTrue="1">
      <formula>OR(AND(1=$H6,OR(AND(ISNUMBER($E6),I6&lt;$E6),AND(ISNUMBER($F6),I6&gt;$F6),"Fail"=I6)),AND(2=$H6,ISNUMBER($F6),I6&gt;$F6),AND(3=$H6,ISNUMBER($E6),I6&lt;$E6))</formula>
    </cfRule>
    <cfRule type="expression" dxfId="9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52">
    <cfRule type="expression" dxfId="8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54:K57">
    <cfRule type="cellIs" dxfId="7" priority="1" stopIfTrue="1" operator="equal">
      <formula>"×"</formula>
    </cfRule>
    <cfRule type="containsBlanks" priority="3" stopIfTrue="1">
      <formula>LEN(TRIM(I54))=0</formula>
    </cfRule>
    <cfRule type="expression" dxfId="6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5" priority="5" stopIfTrue="1">
      <formula>OR(AND(1=$H54,"N/A"=I54),AND(2=$H54,ISNUMBER($E54),I54&lt;$E54),AND(3=$H54,ISNUMBER($F54),I54&gt;$F54),AND(4=$H54,OR(AND(ISNUMBER($E54),I54&lt;$E54),AND(ISNUMBER($F54),I54&gt;$F54),"Fail"=I54)),5=$H54)</formula>
    </cfRule>
  </conditionalFormatting>
  <conditionalFormatting sqref="I54:K57">
    <cfRule type="expression" dxfId="4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 xr:uid="{848448EA-7FFD-4384-96DB-BF817365D10E}">
      <formula1>OR(ISNUMBER(I54),"×"=I54)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AS12"/>
  <sheetViews>
    <sheetView zoomScale="70" zoomScaleNormal="70" workbookViewId="0">
      <pane ySplit="4" topLeftCell="A5" activePane="bottomLeft" state="frozen"/>
      <selection pane="bottomLeft" activeCell="M1" sqref="M1:AS1048576"/>
    </sheetView>
  </sheetViews>
  <sheetFormatPr defaultColWidth="9" defaultRowHeight="14.25" x14ac:dyDescent="0.2"/>
  <cols>
    <col min="1" max="1" width="32.625" style="75" customWidth="1"/>
    <col min="2" max="2" width="15.625" style="3" customWidth="1"/>
    <col min="3" max="3" width="15.625" style="1" customWidth="1"/>
    <col min="4" max="4" width="18.625" style="1" customWidth="1"/>
    <col min="5" max="6" width="6.625" style="1" customWidth="1"/>
    <col min="7" max="7" width="8.625" style="1" customWidth="1"/>
    <col min="8" max="8" width="6.625" style="1" customWidth="1"/>
    <col min="9" max="11" width="12.625" style="1" customWidth="1"/>
    <col min="12" max="12" width="1.75" style="1" customWidth="1"/>
    <col min="13" max="18" width="8.625" style="1" hidden="1" customWidth="1"/>
    <col min="19" max="19" width="1.75" style="1" hidden="1" customWidth="1"/>
    <col min="20" max="45" width="10.75" style="1" hidden="1" customWidth="1"/>
    <col min="46" max="16384" width="9" style="1"/>
  </cols>
  <sheetData>
    <row r="1" spans="1:45" ht="21" x14ac:dyDescent="0.2">
      <c r="A1" s="253" t="s">
        <v>670</v>
      </c>
      <c r="B1" s="253"/>
      <c r="C1" s="253"/>
      <c r="D1" s="253"/>
      <c r="E1" s="253"/>
      <c r="F1" s="253"/>
      <c r="G1" s="253"/>
      <c r="H1" s="253"/>
      <c r="I1" s="14"/>
    </row>
    <row r="2" spans="1:45" ht="15" thickBot="1" x14ac:dyDescent="0.25"/>
    <row r="3" spans="1:45" s="2" customFormat="1" x14ac:dyDescent="0.2">
      <c r="A3" s="229" t="s">
        <v>73</v>
      </c>
      <c r="B3" s="230"/>
      <c r="C3" s="230"/>
      <c r="D3" s="230"/>
      <c r="E3" s="230" t="s">
        <v>24</v>
      </c>
      <c r="F3" s="230"/>
      <c r="G3" s="230"/>
      <c r="H3" s="230"/>
      <c r="I3" s="23" t="str">
        <f>Report!B15</f>
        <v>VoLTE</v>
      </c>
      <c r="J3" s="23" t="str">
        <f>Report!C15</f>
        <v>AMR_NB</v>
      </c>
      <c r="K3" s="24" t="str">
        <f>Report!D15</f>
        <v>12.2kbit/s</v>
      </c>
      <c r="M3" s="225" t="s">
        <v>374</v>
      </c>
      <c r="N3" s="227" t="s">
        <v>108</v>
      </c>
      <c r="O3" s="227" t="s">
        <v>140</v>
      </c>
      <c r="P3" s="227" t="s">
        <v>374</v>
      </c>
      <c r="Q3" s="227" t="s">
        <v>108</v>
      </c>
      <c r="R3" s="223" t="s">
        <v>140</v>
      </c>
      <c r="T3" s="237" t="s">
        <v>180</v>
      </c>
      <c r="U3" s="233" t="s">
        <v>181</v>
      </c>
      <c r="V3" s="233" t="s">
        <v>182</v>
      </c>
      <c r="W3" s="233" t="s">
        <v>183</v>
      </c>
      <c r="X3" s="233" t="s">
        <v>184</v>
      </c>
      <c r="Y3" s="233" t="s">
        <v>185</v>
      </c>
      <c r="Z3" s="233" t="s">
        <v>186</v>
      </c>
      <c r="AA3" s="233" t="s">
        <v>187</v>
      </c>
      <c r="AB3" s="233" t="s">
        <v>188</v>
      </c>
      <c r="AC3" s="233" t="s">
        <v>189</v>
      </c>
      <c r="AD3" s="233" t="s">
        <v>190</v>
      </c>
      <c r="AE3" s="233" t="s">
        <v>191</v>
      </c>
      <c r="AF3" s="233" t="s">
        <v>192</v>
      </c>
      <c r="AG3" s="233" t="s">
        <v>180</v>
      </c>
      <c r="AH3" s="233" t="s">
        <v>181</v>
      </c>
      <c r="AI3" s="233" t="s">
        <v>182</v>
      </c>
      <c r="AJ3" s="233" t="s">
        <v>183</v>
      </c>
      <c r="AK3" s="233" t="s">
        <v>184</v>
      </c>
      <c r="AL3" s="233" t="s">
        <v>185</v>
      </c>
      <c r="AM3" s="233" t="s">
        <v>186</v>
      </c>
      <c r="AN3" s="233" t="s">
        <v>187</v>
      </c>
      <c r="AO3" s="233" t="s">
        <v>188</v>
      </c>
      <c r="AP3" s="233" t="s">
        <v>189</v>
      </c>
      <c r="AQ3" s="233" t="s">
        <v>190</v>
      </c>
      <c r="AR3" s="233" t="s">
        <v>191</v>
      </c>
      <c r="AS3" s="235" t="s">
        <v>192</v>
      </c>
    </row>
    <row r="4" spans="1:45" s="2" customFormat="1" ht="15" thickBot="1" x14ac:dyDescent="0.25">
      <c r="A4" s="74" t="s">
        <v>22</v>
      </c>
      <c r="B4" s="36" t="s">
        <v>122</v>
      </c>
      <c r="C4" s="27" t="s">
        <v>23</v>
      </c>
      <c r="D4" s="27" t="s">
        <v>46</v>
      </c>
      <c r="E4" s="27" t="s">
        <v>64</v>
      </c>
      <c r="F4" s="27" t="s">
        <v>65</v>
      </c>
      <c r="G4" s="27" t="s">
        <v>48</v>
      </c>
      <c r="H4" s="27" t="s">
        <v>94</v>
      </c>
      <c r="I4" s="27" t="str">
        <f>IF(ISBLANK(Report!B8),"",ISBLANK(Report!B8))</f>
        <v/>
      </c>
      <c r="J4" s="27" t="str">
        <f>IF(ISBLANK(Report!C8),"",ISBLANK(Report!C8))</f>
        <v/>
      </c>
      <c r="K4" s="28" t="str">
        <f>IF(ISBLANK(Report!D8),"",ISBLANK(Report!D8))</f>
        <v/>
      </c>
      <c r="M4" s="226"/>
      <c r="N4" s="228"/>
      <c r="O4" s="228"/>
      <c r="P4" s="228"/>
      <c r="Q4" s="228"/>
      <c r="R4" s="224"/>
      <c r="T4" s="238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6"/>
    </row>
    <row r="5" spans="1:45" s="2" customFormat="1" ht="15" thickBot="1" x14ac:dyDescent="0.25">
      <c r="A5" s="249" t="s">
        <v>151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M5" s="133" t="s">
        <v>374</v>
      </c>
      <c r="N5" s="134" t="s">
        <v>108</v>
      </c>
      <c r="O5" s="134" t="s">
        <v>140</v>
      </c>
      <c r="P5" s="134" t="s">
        <v>374</v>
      </c>
      <c r="Q5" s="134" t="s">
        <v>108</v>
      </c>
      <c r="R5" s="135" t="s">
        <v>140</v>
      </c>
      <c r="T5" s="68" t="s">
        <v>41</v>
      </c>
      <c r="U5" s="69" t="s">
        <v>43</v>
      </c>
      <c r="V5" s="69" t="s">
        <v>41</v>
      </c>
      <c r="W5" s="69" t="s">
        <v>43</v>
      </c>
      <c r="X5" s="69" t="s">
        <v>42</v>
      </c>
      <c r="Y5" s="69" t="s">
        <v>45</v>
      </c>
      <c r="Z5" s="69" t="s">
        <v>53</v>
      </c>
      <c r="AA5" s="70" t="s">
        <v>142</v>
      </c>
      <c r="AB5" s="70" t="s">
        <v>141</v>
      </c>
      <c r="AC5" s="70" t="s">
        <v>139</v>
      </c>
      <c r="AD5" s="70" t="s">
        <v>44</v>
      </c>
      <c r="AE5" s="69" t="s">
        <v>108</v>
      </c>
      <c r="AF5" s="69" t="s">
        <v>140</v>
      </c>
      <c r="AG5" s="69" t="s">
        <v>41</v>
      </c>
      <c r="AH5" s="69" t="s">
        <v>43</v>
      </c>
      <c r="AI5" s="69" t="s">
        <v>41</v>
      </c>
      <c r="AJ5" s="69" t="s">
        <v>43</v>
      </c>
      <c r="AK5" s="69" t="s">
        <v>42</v>
      </c>
      <c r="AL5" s="69" t="s">
        <v>45</v>
      </c>
      <c r="AM5" s="69" t="s">
        <v>53</v>
      </c>
      <c r="AN5" s="70" t="s">
        <v>142</v>
      </c>
      <c r="AO5" s="70" t="s">
        <v>141</v>
      </c>
      <c r="AP5" s="70" t="s">
        <v>139</v>
      </c>
      <c r="AQ5" s="70" t="s">
        <v>44</v>
      </c>
      <c r="AR5" s="69" t="s">
        <v>108</v>
      </c>
      <c r="AS5" s="71" t="s">
        <v>140</v>
      </c>
    </row>
    <row r="6" spans="1:45" ht="15" thickTop="1" x14ac:dyDescent="0.2">
      <c r="A6" s="269" t="s">
        <v>121</v>
      </c>
      <c r="B6" s="283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 ""," / "&amp;HLOOKUP(SUBSTITUTE(SUBSTITUTE(SUBSTITUTE(SUBSTITUTE(SUBSTITUTE(VCBW,"AMR_",""),"EVS_",""),"SO3_",""),"SO68_",""),"SO73_",""),$P$3:$R$12,ROW(B6)-ROW($P$3)+1,FALSE))</f>
        <v>CVSD</v>
      </c>
      <c r="C6" s="21" t="s">
        <v>59</v>
      </c>
      <c r="D6" s="21"/>
      <c r="E6" s="21">
        <f>HLOOKUP(IF(OR("GSM"=Network,"WCDMA"=Network),"UMTS",IF(OR("VoLTE"=Network,"VoNR"=Network,"VoWiFi"=Network),"VoIMS",Network))&amp;" "&amp;VCBW,$T$3:$AF$12,ROW(E6)-ROW($T$3)+1,FALSE)</f>
        <v>-3</v>
      </c>
      <c r="F6" s="21">
        <f>HLOOKUP(IF(OR("GSM"=Network,"WCDMA"=Network),"UMTS",IF(OR("VoLTE"=Network,"VoNR"=Network,"VoWiFi"=Network),"VoIMS",Network))&amp;" "&amp;VCBW,$AG$3:$AS$12,ROW(E6)-ROW($AG$3)+1,FALSE)</f>
        <v>3</v>
      </c>
      <c r="G6" s="21" t="s">
        <v>60</v>
      </c>
      <c r="H6" s="21">
        <v>1</v>
      </c>
      <c r="I6" s="166"/>
      <c r="J6" s="172" t="s">
        <v>164</v>
      </c>
      <c r="K6" s="173" t="s">
        <v>164</v>
      </c>
      <c r="M6" s="72" t="s">
        <v>639</v>
      </c>
      <c r="N6" s="129" t="s">
        <v>641</v>
      </c>
      <c r="O6" s="129" t="s">
        <v>643</v>
      </c>
      <c r="P6" s="129"/>
      <c r="Q6" s="129"/>
      <c r="R6" s="33"/>
      <c r="T6" s="72">
        <v>-3</v>
      </c>
      <c r="U6" s="79">
        <v>-3</v>
      </c>
      <c r="V6" s="79">
        <v>-3</v>
      </c>
      <c r="W6" s="79">
        <v>-3</v>
      </c>
      <c r="X6" s="79">
        <v>-3</v>
      </c>
      <c r="Y6" s="79">
        <v>-3</v>
      </c>
      <c r="Z6" s="79">
        <v>-3</v>
      </c>
      <c r="AA6" s="79">
        <v>-3</v>
      </c>
      <c r="AB6" s="79">
        <v>-3</v>
      </c>
      <c r="AC6" s="79">
        <v>-3</v>
      </c>
      <c r="AD6" s="79">
        <v>-3</v>
      </c>
      <c r="AE6" s="79">
        <v>-3</v>
      </c>
      <c r="AF6" s="79">
        <v>-3</v>
      </c>
      <c r="AG6" s="79">
        <v>3</v>
      </c>
      <c r="AH6" s="79">
        <v>3</v>
      </c>
      <c r="AI6" s="79">
        <v>3</v>
      </c>
      <c r="AJ6" s="79">
        <v>3</v>
      </c>
      <c r="AK6" s="79">
        <v>3</v>
      </c>
      <c r="AL6" s="79">
        <v>3</v>
      </c>
      <c r="AM6" s="79">
        <v>3</v>
      </c>
      <c r="AN6" s="79">
        <v>3</v>
      </c>
      <c r="AO6" s="79">
        <v>3</v>
      </c>
      <c r="AP6" s="79">
        <v>3</v>
      </c>
      <c r="AQ6" s="79">
        <v>3</v>
      </c>
      <c r="AR6" s="79">
        <v>3</v>
      </c>
      <c r="AS6" s="33">
        <v>3</v>
      </c>
    </row>
    <row r="7" spans="1:45" x14ac:dyDescent="0.2">
      <c r="A7" s="276"/>
      <c r="B7" s="265"/>
      <c r="C7" s="231" t="s">
        <v>62</v>
      </c>
      <c r="D7" s="15" t="s">
        <v>47</v>
      </c>
      <c r="E7" s="15">
        <f>HLOOKUP(IF(OR("GSM"=Network,"WCDMA"=Network),"UMTS",IF(OR("VoLTE"=Network,"VoNR"=Network,"VoWiFi"=Network),"VoIMS",Network))&amp;" "&amp;VCBW,$T$3:$AF$12,ROW(E7)-ROW($T$3)+1,FALSE)</f>
        <v>-3</v>
      </c>
      <c r="F7" s="15">
        <f>HLOOKUP(IF(OR("GSM"=Network,"WCDMA"=Network),"UMTS",IF(OR("VoLTE"=Network,"VoNR"=Network,"VoWiFi"=Network),"VoIMS",Network))&amp;" "&amp;VCBW,$AG$3:$AS$12,ROW(E7)-ROW($AG$3)+1,FALSE)</f>
        <v>3</v>
      </c>
      <c r="G7" s="15" t="s">
        <v>60</v>
      </c>
      <c r="H7" s="15">
        <v>1</v>
      </c>
      <c r="I7" s="168"/>
      <c r="J7" s="174" t="s">
        <v>164</v>
      </c>
      <c r="K7" s="175" t="s">
        <v>164</v>
      </c>
      <c r="M7" s="72" t="s">
        <v>638</v>
      </c>
      <c r="N7" s="129" t="s">
        <v>640</v>
      </c>
      <c r="O7" s="129" t="s">
        <v>642</v>
      </c>
      <c r="P7" s="129"/>
      <c r="Q7" s="129"/>
      <c r="R7" s="33"/>
      <c r="T7" s="72">
        <v>-3</v>
      </c>
      <c r="U7" s="79">
        <v>-3</v>
      </c>
      <c r="V7" s="79">
        <v>-3</v>
      </c>
      <c r="W7" s="79">
        <v>-3</v>
      </c>
      <c r="X7" s="79">
        <v>-3</v>
      </c>
      <c r="Y7" s="79">
        <v>-3</v>
      </c>
      <c r="Z7" s="79">
        <v>-3</v>
      </c>
      <c r="AA7" s="79">
        <v>-3</v>
      </c>
      <c r="AB7" s="79">
        <v>-3</v>
      </c>
      <c r="AC7" s="79">
        <v>-3</v>
      </c>
      <c r="AD7" s="79">
        <v>-3</v>
      </c>
      <c r="AE7" s="79">
        <v>-3</v>
      </c>
      <c r="AF7" s="79">
        <v>-3</v>
      </c>
      <c r="AG7" s="79">
        <v>3</v>
      </c>
      <c r="AH7" s="79">
        <v>3</v>
      </c>
      <c r="AI7" s="79">
        <v>3</v>
      </c>
      <c r="AJ7" s="79">
        <v>3</v>
      </c>
      <c r="AK7" s="79">
        <v>3</v>
      </c>
      <c r="AL7" s="79">
        <v>3</v>
      </c>
      <c r="AM7" s="79">
        <v>3</v>
      </c>
      <c r="AN7" s="79">
        <v>3</v>
      </c>
      <c r="AO7" s="79">
        <v>3</v>
      </c>
      <c r="AP7" s="79">
        <v>3</v>
      </c>
      <c r="AQ7" s="79">
        <v>3</v>
      </c>
      <c r="AR7" s="79">
        <v>3</v>
      </c>
      <c r="AS7" s="33">
        <v>3</v>
      </c>
    </row>
    <row r="8" spans="1:45" x14ac:dyDescent="0.2">
      <c r="A8" s="276" t="s">
        <v>12</v>
      </c>
      <c r="B8" s="26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 ""," / "&amp;HLOOKUP(SUBSTITUTE(SUBSTITUTE(SUBSTITUTE(SUBSTITUTE(SUBSTITUTE(VCBW,"AMR_",""),"EVS_",""),"SO3_",""),"SO68_",""),"SO73_",""),$P$3:$R$12,ROW(B8)-ROW($P$3)+1,FALSE))</f>
        <v>CVSD</v>
      </c>
      <c r="C8" s="15" t="s">
        <v>11</v>
      </c>
      <c r="D8" s="15"/>
      <c r="E8" s="15">
        <f>HLOOKUP(IF(OR("GSM"=Network,"WCDMA"=Network),"UMTS",IF(OR("VoLTE"=Network,"VoNR"=Network,"VoWiFi"=Network),"VoIMS",Network))&amp;" "&amp;VCBW,$T$3:$AF$12,ROW(E8)-ROW($T$3)+1,FALSE)</f>
        <v>0</v>
      </c>
      <c r="F8" s="15" t="str">
        <f>HLOOKUP(IF(OR("GSM"=Network,"WCDMA"=Network),"UMTS",IF(OR("VoLTE"=Network,"VoNR"=Network,"VoWiFi"=Network),"VoIMS",Network))&amp;" "&amp;VCBW,$AG$3:$AS$12,ROW(E8)-ROW($AG$3)+1,FALSE)</f>
        <v>N/A</v>
      </c>
      <c r="G8" s="15" t="s">
        <v>21</v>
      </c>
      <c r="H8" s="15">
        <v>1</v>
      </c>
      <c r="I8" s="168"/>
      <c r="J8" s="174" t="s">
        <v>164</v>
      </c>
      <c r="K8" s="175" t="s">
        <v>164</v>
      </c>
      <c r="M8" s="72" t="s">
        <v>638</v>
      </c>
      <c r="N8" s="129" t="s">
        <v>640</v>
      </c>
      <c r="O8" s="129" t="s">
        <v>642</v>
      </c>
      <c r="P8" s="129"/>
      <c r="Q8" s="129"/>
      <c r="R8" s="33"/>
      <c r="T8" s="72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  <c r="AA8" s="79">
        <v>0</v>
      </c>
      <c r="AB8" s="79">
        <v>0</v>
      </c>
      <c r="AC8" s="79">
        <v>0</v>
      </c>
      <c r="AD8" s="79">
        <v>0</v>
      </c>
      <c r="AE8" s="79">
        <v>0</v>
      </c>
      <c r="AF8" s="79">
        <v>0</v>
      </c>
      <c r="AG8" s="79" t="s">
        <v>143</v>
      </c>
      <c r="AH8" s="79" t="s">
        <v>143</v>
      </c>
      <c r="AI8" s="79" t="s">
        <v>143</v>
      </c>
      <c r="AJ8" s="79" t="s">
        <v>143</v>
      </c>
      <c r="AK8" s="79" t="s">
        <v>143</v>
      </c>
      <c r="AL8" s="79" t="s">
        <v>143</v>
      </c>
      <c r="AM8" s="79" t="s">
        <v>143</v>
      </c>
      <c r="AN8" s="79" t="s">
        <v>143</v>
      </c>
      <c r="AO8" s="79" t="s">
        <v>143</v>
      </c>
      <c r="AP8" s="79" t="s">
        <v>143</v>
      </c>
      <c r="AQ8" s="79" t="s">
        <v>143</v>
      </c>
      <c r="AR8" s="79" t="s">
        <v>143</v>
      </c>
      <c r="AS8" s="33" t="s">
        <v>143</v>
      </c>
    </row>
    <row r="9" spans="1:45" ht="15" thickBot="1" x14ac:dyDescent="0.25">
      <c r="A9" s="282"/>
      <c r="B9" s="284"/>
      <c r="C9" s="246" t="s">
        <v>61</v>
      </c>
      <c r="D9" s="22" t="s">
        <v>47</v>
      </c>
      <c r="E9" s="22">
        <f>HLOOKUP(IF(OR("GSM"=Network,"WCDMA"=Network),"UMTS",IF(OR("VoLTE"=Network,"VoNR"=Network,"VoWiFi"=Network),"VoIMS",Network))&amp;" "&amp;VCBW,$T$3:$AF$12,ROW(E9)-ROW($T$3)+1,FALSE)</f>
        <v>0</v>
      </c>
      <c r="F9" s="22" t="str">
        <f>HLOOKUP(IF(OR("GSM"=Network,"WCDMA"=Network),"UMTS",IF(OR("VoLTE"=Network,"VoNR"=Network,"VoWiFi"=Network),"VoIMS",Network))&amp;" "&amp;VCBW,$AG$3:$AS$12,ROW(E9)-ROW($AG$3)+1,FALSE)</f>
        <v>N/A</v>
      </c>
      <c r="G9" s="22" t="s">
        <v>21</v>
      </c>
      <c r="H9" s="22">
        <v>1</v>
      </c>
      <c r="I9" s="170"/>
      <c r="J9" s="176" t="s">
        <v>164</v>
      </c>
      <c r="K9" s="177" t="s">
        <v>164</v>
      </c>
      <c r="M9" s="66" t="s">
        <v>638</v>
      </c>
      <c r="N9" s="130" t="s">
        <v>640</v>
      </c>
      <c r="O9" s="130" t="s">
        <v>642</v>
      </c>
      <c r="P9" s="130"/>
      <c r="Q9" s="130"/>
      <c r="R9" s="34"/>
      <c r="T9" s="84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0</v>
      </c>
      <c r="AC9" s="85">
        <v>0</v>
      </c>
      <c r="AD9" s="85">
        <v>0</v>
      </c>
      <c r="AE9" s="85">
        <v>0</v>
      </c>
      <c r="AF9" s="85">
        <v>0</v>
      </c>
      <c r="AG9" s="85" t="s">
        <v>143</v>
      </c>
      <c r="AH9" s="85" t="s">
        <v>143</v>
      </c>
      <c r="AI9" s="85" t="s">
        <v>143</v>
      </c>
      <c r="AJ9" s="85" t="s">
        <v>143</v>
      </c>
      <c r="AK9" s="85" t="s">
        <v>143</v>
      </c>
      <c r="AL9" s="85" t="s">
        <v>143</v>
      </c>
      <c r="AM9" s="85" t="s">
        <v>143</v>
      </c>
      <c r="AN9" s="85" t="s">
        <v>143</v>
      </c>
      <c r="AO9" s="85" t="s">
        <v>143</v>
      </c>
      <c r="AP9" s="85" t="s">
        <v>143</v>
      </c>
      <c r="AQ9" s="85" t="s">
        <v>143</v>
      </c>
      <c r="AR9" s="85" t="s">
        <v>143</v>
      </c>
      <c r="AS9" s="86" t="s">
        <v>143</v>
      </c>
    </row>
    <row r="10" spans="1:45" s="2" customFormat="1" ht="15" thickBot="1" x14ac:dyDescent="0.25">
      <c r="A10" s="249" t="s">
        <v>110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1"/>
      <c r="M10" s="133" t="s">
        <v>374</v>
      </c>
      <c r="N10" s="134" t="s">
        <v>108</v>
      </c>
      <c r="O10" s="134" t="s">
        <v>140</v>
      </c>
      <c r="P10" s="134" t="s">
        <v>374</v>
      </c>
      <c r="Q10" s="134" t="s">
        <v>108</v>
      </c>
      <c r="R10" s="135" t="s">
        <v>140</v>
      </c>
      <c r="T10" s="30" t="s">
        <v>41</v>
      </c>
      <c r="U10" s="31" t="s">
        <v>43</v>
      </c>
      <c r="V10" s="31" t="s">
        <v>41</v>
      </c>
      <c r="W10" s="31" t="s">
        <v>43</v>
      </c>
      <c r="X10" s="31" t="s">
        <v>42</v>
      </c>
      <c r="Y10" s="31" t="s">
        <v>45</v>
      </c>
      <c r="Z10" s="31" t="s">
        <v>53</v>
      </c>
      <c r="AA10" s="38" t="s">
        <v>142</v>
      </c>
      <c r="AB10" s="38" t="s">
        <v>141</v>
      </c>
      <c r="AC10" s="38" t="s">
        <v>139</v>
      </c>
      <c r="AD10" s="38" t="s">
        <v>44</v>
      </c>
      <c r="AE10" s="31" t="s">
        <v>108</v>
      </c>
      <c r="AF10" s="31" t="s">
        <v>140</v>
      </c>
      <c r="AG10" s="31" t="s">
        <v>41</v>
      </c>
      <c r="AH10" s="31" t="s">
        <v>43</v>
      </c>
      <c r="AI10" s="31" t="s">
        <v>41</v>
      </c>
      <c r="AJ10" s="31" t="s">
        <v>43</v>
      </c>
      <c r="AK10" s="31" t="s">
        <v>42</v>
      </c>
      <c r="AL10" s="31" t="s">
        <v>45</v>
      </c>
      <c r="AM10" s="31" t="s">
        <v>53</v>
      </c>
      <c r="AN10" s="38" t="s">
        <v>142</v>
      </c>
      <c r="AO10" s="38" t="s">
        <v>141</v>
      </c>
      <c r="AP10" s="38" t="s">
        <v>139</v>
      </c>
      <c r="AQ10" s="38" t="s">
        <v>44</v>
      </c>
      <c r="AR10" s="31" t="s">
        <v>108</v>
      </c>
      <c r="AS10" s="32" t="s">
        <v>140</v>
      </c>
    </row>
    <row r="11" spans="1:45" ht="15" thickTop="1" x14ac:dyDescent="0.2">
      <c r="A11" s="280" t="s">
        <v>228</v>
      </c>
      <c r="B11" s="247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 ""," / "&amp;HLOOKUP(SUBSTITUTE(SUBSTITUTE(SUBSTITUTE(SUBSTITUTE(SUBSTITUTE(VCBW,"AMR_",""),"EVS_",""),"SO3_",""),"SO68_",""),"SO73_",""),$P$3:$R$12,ROW(B11)-ROW($P$3)+1,FALSE))</f>
        <v>P.863 / CVSD</v>
      </c>
      <c r="C11" s="15" t="s">
        <v>11</v>
      </c>
      <c r="D11" s="15"/>
      <c r="E11" s="15">
        <f>HLOOKUP(IF(OR("GSM"=Network,"WCDMA"=Network),"UMTS",IF(OR("VoLTE"=Network,"VoNR"=Network,"VoWiFi"=Network),"VoIMS",Network))&amp;" "&amp;VCBW,$T$3:$AF$12,ROW(E11)-ROW($T$3)+1,FALSE)</f>
        <v>2.9</v>
      </c>
      <c r="F11" s="15">
        <f>HLOOKUP(IF(OR("GSM"=Network,"WCDMA"=Network),"UMTS",IF(OR("VoLTE"=Network,"VoNR"=Network,"VoWiFi"=Network),"VoIMS",Network))&amp;" "&amp;VCBW,$AG$3:$AS$12,ROW(E11)-ROW($AG$3)+1,FALSE)</f>
        <v>3.8</v>
      </c>
      <c r="G11" s="15" t="s">
        <v>21</v>
      </c>
      <c r="H11" s="15">
        <v>1</v>
      </c>
      <c r="I11" s="168"/>
      <c r="J11" s="174" t="s">
        <v>164</v>
      </c>
      <c r="K11" s="175" t="s">
        <v>164</v>
      </c>
      <c r="M11" s="72" t="s">
        <v>553</v>
      </c>
      <c r="N11" s="129" t="s">
        <v>456</v>
      </c>
      <c r="O11" s="129" t="s">
        <v>456</v>
      </c>
      <c r="P11" s="129" t="s">
        <v>639</v>
      </c>
      <c r="Q11" s="129" t="s">
        <v>641</v>
      </c>
      <c r="R11" s="33" t="s">
        <v>643</v>
      </c>
      <c r="T11" s="72">
        <v>2.9</v>
      </c>
      <c r="U11" s="79">
        <v>3.2</v>
      </c>
      <c r="V11" s="79">
        <v>2.9</v>
      </c>
      <c r="W11" s="79">
        <v>3.2</v>
      </c>
      <c r="X11" s="79">
        <v>2.9</v>
      </c>
      <c r="Y11" s="79">
        <v>3.2</v>
      </c>
      <c r="Z11" s="79">
        <v>3.2</v>
      </c>
      <c r="AA11" s="79">
        <v>2.9</v>
      </c>
      <c r="AB11" s="79">
        <v>2.9</v>
      </c>
      <c r="AC11" s="79">
        <v>2.9</v>
      </c>
      <c r="AD11" s="79">
        <v>3.2</v>
      </c>
      <c r="AE11" s="79">
        <v>3.2</v>
      </c>
      <c r="AF11" s="79">
        <v>3.2</v>
      </c>
      <c r="AG11" s="79">
        <v>3.8</v>
      </c>
      <c r="AH11" s="79">
        <v>4.5</v>
      </c>
      <c r="AI11" s="79">
        <v>3.8</v>
      </c>
      <c r="AJ11" s="79">
        <v>4.5</v>
      </c>
      <c r="AK11" s="79">
        <v>3.8</v>
      </c>
      <c r="AL11" s="79">
        <v>4.5</v>
      </c>
      <c r="AM11" s="79">
        <v>4.8</v>
      </c>
      <c r="AN11" s="79">
        <v>3.8</v>
      </c>
      <c r="AO11" s="79">
        <v>3.8</v>
      </c>
      <c r="AP11" s="79">
        <v>3.8</v>
      </c>
      <c r="AQ11" s="79">
        <v>4.5</v>
      </c>
      <c r="AR11" s="79">
        <v>4.5</v>
      </c>
      <c r="AS11" s="33">
        <v>4.8</v>
      </c>
    </row>
    <row r="12" spans="1:45" ht="15" thickBot="1" x14ac:dyDescent="0.25">
      <c r="A12" s="281"/>
      <c r="B12" s="246"/>
      <c r="C12" s="22" t="s">
        <v>10</v>
      </c>
      <c r="D12" s="22" t="s">
        <v>47</v>
      </c>
      <c r="E12" s="22">
        <f>HLOOKUP(IF(OR("GSM"=Network,"WCDMA"=Network),"UMTS",IF(OR("VoLTE"=Network,"VoNR"=Network,"VoWiFi"=Network),"VoIMS",Network))&amp;" "&amp;VCBW,$T$3:$AF$12,ROW(E12)-ROW($T$3)+1,FALSE)</f>
        <v>2.9</v>
      </c>
      <c r="F12" s="22">
        <f>HLOOKUP(IF(OR("GSM"=Network,"WCDMA"=Network),"UMTS",IF(OR("VoLTE"=Network,"VoNR"=Network,"VoWiFi"=Network),"VoIMS",Network))&amp;" "&amp;VCBW,$AG$3:$AS$12,ROW(E12)-ROW($AG$3)+1,FALSE)</f>
        <v>3.8</v>
      </c>
      <c r="G12" s="22" t="s">
        <v>21</v>
      </c>
      <c r="H12" s="22">
        <v>1</v>
      </c>
      <c r="I12" s="170"/>
      <c r="J12" s="176" t="s">
        <v>164</v>
      </c>
      <c r="K12" s="177" t="s">
        <v>164</v>
      </c>
      <c r="M12" s="66" t="s">
        <v>456</v>
      </c>
      <c r="N12" s="130" t="s">
        <v>456</v>
      </c>
      <c r="O12" s="130" t="s">
        <v>456</v>
      </c>
      <c r="P12" s="130" t="s">
        <v>638</v>
      </c>
      <c r="Q12" s="130" t="s">
        <v>640</v>
      </c>
      <c r="R12" s="34" t="s">
        <v>642</v>
      </c>
      <c r="T12" s="66">
        <v>2.9</v>
      </c>
      <c r="U12" s="80">
        <v>3.2</v>
      </c>
      <c r="V12" s="80">
        <v>2.9</v>
      </c>
      <c r="W12" s="80">
        <v>3.2</v>
      </c>
      <c r="X12" s="80">
        <v>2.9</v>
      </c>
      <c r="Y12" s="80">
        <v>3.2</v>
      </c>
      <c r="Z12" s="80">
        <v>3.2</v>
      </c>
      <c r="AA12" s="80">
        <v>2.9</v>
      </c>
      <c r="AB12" s="80">
        <v>2.9</v>
      </c>
      <c r="AC12" s="80">
        <v>2.9</v>
      </c>
      <c r="AD12" s="80">
        <v>3.2</v>
      </c>
      <c r="AE12" s="80">
        <v>3.2</v>
      </c>
      <c r="AF12" s="80">
        <v>3.2</v>
      </c>
      <c r="AG12" s="80">
        <v>3.8</v>
      </c>
      <c r="AH12" s="80">
        <v>4.5</v>
      </c>
      <c r="AI12" s="80">
        <v>3.8</v>
      </c>
      <c r="AJ12" s="80">
        <v>4.5</v>
      </c>
      <c r="AK12" s="80">
        <v>3.8</v>
      </c>
      <c r="AL12" s="80">
        <v>4.5</v>
      </c>
      <c r="AM12" s="80">
        <v>4.8</v>
      </c>
      <c r="AN12" s="80">
        <v>3.8</v>
      </c>
      <c r="AO12" s="80">
        <v>3.8</v>
      </c>
      <c r="AP12" s="80">
        <v>3.8</v>
      </c>
      <c r="AQ12" s="80">
        <v>4.5</v>
      </c>
      <c r="AR12" s="80">
        <v>4.5</v>
      </c>
      <c r="AS12" s="34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5">
    <mergeCell ref="AS3:AS4"/>
    <mergeCell ref="AN3:AN4"/>
    <mergeCell ref="AO3:AO4"/>
    <mergeCell ref="AP3:AP4"/>
    <mergeCell ref="AQ3:AQ4"/>
    <mergeCell ref="AR3:AR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A1:H1"/>
    <mergeCell ref="A3:D3"/>
    <mergeCell ref="E3:H3"/>
    <mergeCell ref="A5:K5"/>
    <mergeCell ref="A10:K10"/>
    <mergeCell ref="B11:B12"/>
    <mergeCell ref="C7"/>
    <mergeCell ref="A11:A12"/>
    <mergeCell ref="A6:A7"/>
    <mergeCell ref="A8:A9"/>
    <mergeCell ref="C9"/>
    <mergeCell ref="B6:B7"/>
    <mergeCell ref="B8:B9"/>
    <mergeCell ref="R3:R4"/>
    <mergeCell ref="M3:M4"/>
    <mergeCell ref="N3:N4"/>
    <mergeCell ref="O3:O4"/>
    <mergeCell ref="P3:P4"/>
    <mergeCell ref="Q3:Q4"/>
  </mergeCells>
  <phoneticPr fontId="1" type="noConversion"/>
  <conditionalFormatting sqref="I6:K9 I11:K12">
    <cfRule type="cellIs" dxfId="3" priority="1" stopIfTrue="1" operator="equal">
      <formula>"×"</formula>
    </cfRule>
    <cfRule type="containsBlanks" priority="14" stopIfTrue="1">
      <formula>LEN(TRIM(I6))=0</formula>
    </cfRule>
    <cfRule type="expression" dxfId="2" priority="15" stopIfTrue="1">
      <formula>OR(AND(1=$H6,OR(AND(ISNUMBER($E6),I6&lt;$E6),AND(ISNUMBER($F6),I6&gt;$F6),"Fail"=I6)),AND(2=$H6,ISNUMBER($F6),I6&gt;$F6),AND(3=$H6,ISNUMBER($E6),I6&lt;$E6))</formula>
    </cfRule>
    <cfRule type="expression" dxfId="1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0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 xr:uid="{70161805-87AB-482F-A89C-A4697150489F}">
      <formula1>OR(ISNUMBER(I6),"×"=I6)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A4A5-53D8-45B3-A4B7-CE7A0E6F29CC}">
  <sheetPr>
    <tabColor theme="6" tint="0.79998168889431442"/>
  </sheetPr>
  <dimension ref="A1:G25"/>
  <sheetViews>
    <sheetView zoomScale="70" zoomScaleNormal="70" workbookViewId="0"/>
  </sheetViews>
  <sheetFormatPr defaultRowHeight="14.25" x14ac:dyDescent="0.2"/>
  <cols>
    <col min="1" max="1" width="23.375" bestFit="1" customWidth="1"/>
    <col min="2" max="3" width="27.875" bestFit="1" customWidth="1"/>
    <col min="4" max="5" width="28.25" bestFit="1" customWidth="1"/>
    <col min="6" max="7" width="29.5" bestFit="1" customWidth="1"/>
  </cols>
  <sheetData>
    <row r="1" spans="1:7" ht="21" x14ac:dyDescent="0.2">
      <c r="A1" s="37" t="s">
        <v>274</v>
      </c>
    </row>
    <row r="2" spans="1:7" ht="15" thickBot="1" x14ac:dyDescent="0.25"/>
    <row r="3" spans="1:7" x14ac:dyDescent="0.2">
      <c r="A3" s="288" t="s">
        <v>289</v>
      </c>
      <c r="B3" s="289"/>
      <c r="C3" s="289"/>
      <c r="D3" s="289"/>
      <c r="E3" s="289"/>
      <c r="F3" s="289"/>
      <c r="G3" s="290"/>
    </row>
    <row r="4" spans="1:7" ht="15" x14ac:dyDescent="0.2">
      <c r="A4" s="106"/>
      <c r="B4" s="107" t="s">
        <v>242</v>
      </c>
      <c r="C4" s="107" t="s">
        <v>243</v>
      </c>
      <c r="D4" s="107" t="s">
        <v>244</v>
      </c>
      <c r="E4" s="107" t="s">
        <v>245</v>
      </c>
      <c r="F4" s="107" t="s">
        <v>246</v>
      </c>
      <c r="G4" s="108" t="s">
        <v>247</v>
      </c>
    </row>
    <row r="5" spans="1:7" ht="15" x14ac:dyDescent="0.2">
      <c r="A5" s="285" t="s">
        <v>291</v>
      </c>
      <c r="B5" s="286"/>
      <c r="C5" s="286"/>
      <c r="D5" s="286"/>
      <c r="E5" s="286"/>
      <c r="F5" s="286"/>
      <c r="G5" s="287"/>
    </row>
    <row r="6" spans="1:7" ht="15" x14ac:dyDescent="0.2">
      <c r="A6" s="106" t="s">
        <v>255</v>
      </c>
      <c r="B6" s="109" t="s">
        <v>285</v>
      </c>
      <c r="C6" s="109" t="s">
        <v>256</v>
      </c>
      <c r="D6" s="109" t="s">
        <v>285</v>
      </c>
      <c r="E6" s="109" t="s">
        <v>256</v>
      </c>
      <c r="F6" s="109" t="s">
        <v>285</v>
      </c>
      <c r="G6" s="110" t="s">
        <v>256</v>
      </c>
    </row>
    <row r="7" spans="1:7" ht="15" x14ac:dyDescent="0.2">
      <c r="A7" s="106" t="s">
        <v>257</v>
      </c>
      <c r="B7" s="109" t="s">
        <v>258</v>
      </c>
      <c r="C7" s="109" t="s">
        <v>259</v>
      </c>
      <c r="D7" s="109" t="s">
        <v>258</v>
      </c>
      <c r="E7" s="109" t="s">
        <v>259</v>
      </c>
      <c r="F7" s="109" t="s">
        <v>258</v>
      </c>
      <c r="G7" s="110" t="s">
        <v>259</v>
      </c>
    </row>
    <row r="8" spans="1:7" ht="15" x14ac:dyDescent="0.2">
      <c r="A8" s="106" t="s">
        <v>260</v>
      </c>
      <c r="B8" s="109" t="s">
        <v>261</v>
      </c>
      <c r="C8" s="109" t="s">
        <v>261</v>
      </c>
      <c r="D8" s="109" t="s">
        <v>261</v>
      </c>
      <c r="E8" s="109" t="s">
        <v>261</v>
      </c>
      <c r="F8" s="109" t="s">
        <v>261</v>
      </c>
      <c r="G8" s="110" t="s">
        <v>261</v>
      </c>
    </row>
    <row r="9" spans="1:7" ht="15" x14ac:dyDescent="0.2">
      <c r="A9" s="106" t="s">
        <v>262</v>
      </c>
      <c r="B9" s="109" t="s">
        <v>263</v>
      </c>
      <c r="C9" s="109" t="s">
        <v>263</v>
      </c>
      <c r="D9" s="109" t="s">
        <v>263</v>
      </c>
      <c r="E9" s="109" t="s">
        <v>263</v>
      </c>
      <c r="F9" s="109" t="s">
        <v>263</v>
      </c>
      <c r="G9" s="110" t="s">
        <v>263</v>
      </c>
    </row>
    <row r="10" spans="1:7" ht="15" x14ac:dyDescent="0.2">
      <c r="A10" s="106" t="s">
        <v>264</v>
      </c>
      <c r="B10" s="109" t="s">
        <v>265</v>
      </c>
      <c r="C10" s="109" t="s">
        <v>265</v>
      </c>
      <c r="D10" s="109" t="s">
        <v>265</v>
      </c>
      <c r="E10" s="109" t="s">
        <v>265</v>
      </c>
      <c r="F10" s="109" t="s">
        <v>265</v>
      </c>
      <c r="G10" s="110" t="s">
        <v>265</v>
      </c>
    </row>
    <row r="11" spans="1:7" ht="15" x14ac:dyDescent="0.2">
      <c r="A11" s="106" t="s">
        <v>266</v>
      </c>
      <c r="B11" s="109" t="s">
        <v>267</v>
      </c>
      <c r="C11" s="109" t="s">
        <v>267</v>
      </c>
      <c r="D11" s="109" t="s">
        <v>267</v>
      </c>
      <c r="E11" s="109" t="s">
        <v>267</v>
      </c>
      <c r="F11" s="109" t="s">
        <v>267</v>
      </c>
      <c r="G11" s="110" t="s">
        <v>267</v>
      </c>
    </row>
    <row r="12" spans="1:7" ht="15" x14ac:dyDescent="0.2">
      <c r="A12" s="285" t="s">
        <v>290</v>
      </c>
      <c r="B12" s="286"/>
      <c r="C12" s="286"/>
      <c r="D12" s="286"/>
      <c r="E12" s="286"/>
      <c r="F12" s="286"/>
      <c r="G12" s="287"/>
    </row>
    <row r="13" spans="1:7" ht="15" x14ac:dyDescent="0.2">
      <c r="A13" s="106" t="s">
        <v>248</v>
      </c>
      <c r="B13" s="109" t="s">
        <v>249</v>
      </c>
      <c r="C13" s="109" t="s">
        <v>250</v>
      </c>
      <c r="D13" s="109" t="s">
        <v>249</v>
      </c>
      <c r="E13" s="109" t="s">
        <v>251</v>
      </c>
      <c r="F13" s="109" t="s">
        <v>249</v>
      </c>
      <c r="G13" s="110" t="s">
        <v>252</v>
      </c>
    </row>
    <row r="14" spans="1:7" ht="15" x14ac:dyDescent="0.2">
      <c r="A14" s="106" t="s">
        <v>253</v>
      </c>
      <c r="B14" s="109" t="s">
        <v>275</v>
      </c>
      <c r="C14" s="109" t="s">
        <v>254</v>
      </c>
      <c r="D14" s="109" t="s">
        <v>275</v>
      </c>
      <c r="E14" s="109" t="s">
        <v>254</v>
      </c>
      <c r="F14" s="109" t="s">
        <v>275</v>
      </c>
      <c r="G14" s="110" t="s">
        <v>254</v>
      </c>
    </row>
    <row r="15" spans="1:7" ht="15" x14ac:dyDescent="0.2">
      <c r="A15" s="285" t="s">
        <v>645</v>
      </c>
      <c r="B15" s="286"/>
      <c r="C15" s="286"/>
      <c r="D15" s="286"/>
      <c r="E15" s="286"/>
      <c r="F15" s="286"/>
      <c r="G15" s="287"/>
    </row>
    <row r="16" spans="1:7" ht="15" x14ac:dyDescent="0.2">
      <c r="A16" s="106" t="s">
        <v>248</v>
      </c>
      <c r="B16" s="109" t="s">
        <v>268</v>
      </c>
      <c r="C16" s="109" t="s">
        <v>250</v>
      </c>
      <c r="D16" s="109" t="s">
        <v>268</v>
      </c>
      <c r="E16" s="109" t="s">
        <v>251</v>
      </c>
      <c r="F16" s="109" t="s">
        <v>268</v>
      </c>
      <c r="G16" s="110" t="s">
        <v>252</v>
      </c>
    </row>
    <row r="17" spans="1:7" ht="15" x14ac:dyDescent="0.2">
      <c r="A17" s="106" t="s">
        <v>253</v>
      </c>
      <c r="B17" s="109" t="s">
        <v>269</v>
      </c>
      <c r="C17" s="109" t="s">
        <v>254</v>
      </c>
      <c r="D17" s="109" t="s">
        <v>269</v>
      </c>
      <c r="E17" s="109" t="s">
        <v>254</v>
      </c>
      <c r="F17" s="109" t="s">
        <v>269</v>
      </c>
      <c r="G17" s="110" t="s">
        <v>254</v>
      </c>
    </row>
    <row r="18" spans="1:7" ht="15" x14ac:dyDescent="0.2">
      <c r="A18" s="106" t="s">
        <v>270</v>
      </c>
      <c r="B18" s="109" t="s">
        <v>271</v>
      </c>
      <c r="C18" s="109" t="s">
        <v>271</v>
      </c>
      <c r="D18" s="109" t="s">
        <v>271</v>
      </c>
      <c r="E18" s="109" t="s">
        <v>271</v>
      </c>
      <c r="F18" s="109" t="s">
        <v>271</v>
      </c>
      <c r="G18" s="110" t="s">
        <v>271</v>
      </c>
    </row>
    <row r="19" spans="1:7" ht="15" x14ac:dyDescent="0.2">
      <c r="A19" s="285" t="s">
        <v>646</v>
      </c>
      <c r="B19" s="286"/>
      <c r="C19" s="286"/>
      <c r="D19" s="286"/>
      <c r="E19" s="286"/>
      <c r="F19" s="286"/>
      <c r="G19" s="287"/>
    </row>
    <row r="20" spans="1:7" ht="15" x14ac:dyDescent="0.2">
      <c r="A20" s="106" t="s">
        <v>248</v>
      </c>
      <c r="B20" s="109" t="s">
        <v>272</v>
      </c>
      <c r="C20" s="109" t="s">
        <v>250</v>
      </c>
      <c r="D20" s="109" t="s">
        <v>272</v>
      </c>
      <c r="E20" s="109" t="s">
        <v>251</v>
      </c>
      <c r="F20" s="109" t="s">
        <v>272</v>
      </c>
      <c r="G20" s="110" t="s">
        <v>252</v>
      </c>
    </row>
    <row r="21" spans="1:7" ht="15" x14ac:dyDescent="0.2">
      <c r="A21" s="106" t="s">
        <v>253</v>
      </c>
      <c r="B21" s="109" t="s">
        <v>276</v>
      </c>
      <c r="C21" s="109" t="s">
        <v>254</v>
      </c>
      <c r="D21" s="109" t="s">
        <v>276</v>
      </c>
      <c r="E21" s="109" t="s">
        <v>254</v>
      </c>
      <c r="F21" s="109" t="s">
        <v>276</v>
      </c>
      <c r="G21" s="110" t="s">
        <v>254</v>
      </c>
    </row>
    <row r="22" spans="1:7" ht="15" x14ac:dyDescent="0.2">
      <c r="A22" s="106" t="s">
        <v>270</v>
      </c>
      <c r="B22" s="109" t="s">
        <v>273</v>
      </c>
      <c r="C22" s="109" t="s">
        <v>273</v>
      </c>
      <c r="D22" s="109" t="s">
        <v>273</v>
      </c>
      <c r="E22" s="109" t="s">
        <v>273</v>
      </c>
      <c r="F22" s="109" t="s">
        <v>273</v>
      </c>
      <c r="G22" s="110" t="s">
        <v>273</v>
      </c>
    </row>
    <row r="23" spans="1:7" ht="15" x14ac:dyDescent="0.2">
      <c r="A23" s="285" t="s">
        <v>647</v>
      </c>
      <c r="B23" s="286"/>
      <c r="C23" s="286"/>
      <c r="D23" s="286"/>
      <c r="E23" s="286"/>
      <c r="F23" s="286"/>
      <c r="G23" s="287"/>
    </row>
    <row r="24" spans="1:7" ht="15" x14ac:dyDescent="0.2">
      <c r="A24" s="106" t="s">
        <v>248</v>
      </c>
      <c r="B24" s="109" t="s">
        <v>285</v>
      </c>
      <c r="C24" s="109" t="s">
        <v>250</v>
      </c>
      <c r="D24" s="109" t="s">
        <v>285</v>
      </c>
      <c r="E24" s="109" t="s">
        <v>251</v>
      </c>
      <c r="F24" s="109" t="s">
        <v>285</v>
      </c>
      <c r="G24" s="110" t="s">
        <v>252</v>
      </c>
    </row>
    <row r="25" spans="1:7" ht="15.75" thickBot="1" x14ac:dyDescent="0.25">
      <c r="A25" s="111" t="s">
        <v>253</v>
      </c>
      <c r="B25" s="112" t="s">
        <v>288</v>
      </c>
      <c r="C25" s="112" t="s">
        <v>254</v>
      </c>
      <c r="D25" s="112" t="s">
        <v>288</v>
      </c>
      <c r="E25" s="112" t="s">
        <v>254</v>
      </c>
      <c r="F25" s="112" t="s">
        <v>288</v>
      </c>
      <c r="G25" s="113" t="s">
        <v>254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23:G23"/>
    <mergeCell ref="A5:G5"/>
    <mergeCell ref="A3:G3"/>
    <mergeCell ref="A12:G12"/>
    <mergeCell ref="A15:G15"/>
    <mergeCell ref="A19:G1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377A-FB0E-40DA-80EC-847AC737C893}">
  <dimension ref="A1:D23"/>
  <sheetViews>
    <sheetView topLeftCell="A20" zoomScaleNormal="100" workbookViewId="0">
      <selection activeCell="H46" sqref="H46"/>
    </sheetView>
  </sheetViews>
  <sheetFormatPr defaultColWidth="9" defaultRowHeight="12.75" x14ac:dyDescent="0.2"/>
  <cols>
    <col min="1" max="1" width="8.875" style="5" bestFit="1" customWidth="1"/>
    <col min="2" max="2" width="11.375" style="13" bestFit="1" customWidth="1"/>
    <col min="3" max="3" width="79.5" style="9" customWidth="1"/>
    <col min="4" max="4" width="8" style="5" bestFit="1" customWidth="1"/>
    <col min="5" max="16384" width="9" style="5"/>
  </cols>
  <sheetData>
    <row r="1" spans="1:4" x14ac:dyDescent="0.2">
      <c r="A1" s="4" t="s">
        <v>99</v>
      </c>
      <c r="B1" s="11" t="s">
        <v>98</v>
      </c>
      <c r="C1" s="6" t="s">
        <v>101</v>
      </c>
      <c r="D1" s="4" t="s">
        <v>100</v>
      </c>
    </row>
    <row r="2" spans="1:4" x14ac:dyDescent="0.2">
      <c r="A2" s="10" t="s">
        <v>106</v>
      </c>
      <c r="B2" s="12"/>
      <c r="C2" s="7" t="s">
        <v>116</v>
      </c>
      <c r="D2" s="10" t="s">
        <v>170</v>
      </c>
    </row>
    <row r="3" spans="1:4" ht="63.75" x14ac:dyDescent="0.2">
      <c r="A3" s="10" t="s">
        <v>102</v>
      </c>
      <c r="B3" s="12">
        <v>43874</v>
      </c>
      <c r="C3" s="7" t="s">
        <v>117</v>
      </c>
      <c r="D3" s="10" t="s">
        <v>169</v>
      </c>
    </row>
    <row r="4" spans="1:4" x14ac:dyDescent="0.2">
      <c r="A4" s="10" t="s">
        <v>103</v>
      </c>
      <c r="B4" s="12">
        <v>43882</v>
      </c>
      <c r="C4" s="8" t="s">
        <v>118</v>
      </c>
      <c r="D4" s="10" t="s">
        <v>169</v>
      </c>
    </row>
    <row r="5" spans="1:4" ht="38.25" x14ac:dyDescent="0.2">
      <c r="A5" s="10" t="s">
        <v>104</v>
      </c>
      <c r="B5" s="12">
        <v>44057</v>
      </c>
      <c r="C5" s="7" t="s">
        <v>119</v>
      </c>
      <c r="D5" s="10" t="s">
        <v>169</v>
      </c>
    </row>
    <row r="6" spans="1:4" ht="114.75" x14ac:dyDescent="0.2">
      <c r="A6" s="10" t="s">
        <v>109</v>
      </c>
      <c r="B6" s="12">
        <v>44480</v>
      </c>
      <c r="C6" s="7" t="s">
        <v>120</v>
      </c>
      <c r="D6" s="10" t="s">
        <v>169</v>
      </c>
    </row>
    <row r="7" spans="1:4" ht="63.75" x14ac:dyDescent="0.2">
      <c r="A7" s="10" t="s">
        <v>137</v>
      </c>
      <c r="B7" s="12">
        <v>44686</v>
      </c>
      <c r="C7" s="7" t="s">
        <v>149</v>
      </c>
      <c r="D7" s="10" t="s">
        <v>169</v>
      </c>
    </row>
    <row r="8" spans="1:4" ht="25.5" x14ac:dyDescent="0.2">
      <c r="A8" s="10" t="s">
        <v>154</v>
      </c>
      <c r="B8" s="12">
        <v>44784</v>
      </c>
      <c r="C8" s="7" t="s">
        <v>158</v>
      </c>
      <c r="D8" s="10" t="s">
        <v>169</v>
      </c>
    </row>
    <row r="9" spans="1:4" x14ac:dyDescent="0.2">
      <c r="A9" s="10" t="s">
        <v>159</v>
      </c>
      <c r="B9" s="12">
        <v>44853</v>
      </c>
      <c r="C9" s="7" t="s">
        <v>160</v>
      </c>
      <c r="D9" s="10" t="s">
        <v>169</v>
      </c>
    </row>
    <row r="10" spans="1:4" ht="25.5" x14ac:dyDescent="0.2">
      <c r="A10" s="10" t="s">
        <v>161</v>
      </c>
      <c r="B10" s="12">
        <v>45040</v>
      </c>
      <c r="C10" s="7" t="s">
        <v>162</v>
      </c>
      <c r="D10" s="10" t="s">
        <v>171</v>
      </c>
    </row>
    <row r="11" spans="1:4" x14ac:dyDescent="0.2">
      <c r="A11" s="10" t="s">
        <v>166</v>
      </c>
      <c r="B11" s="12">
        <v>45057</v>
      </c>
      <c r="C11" s="7" t="s">
        <v>167</v>
      </c>
      <c r="D11" s="10" t="s">
        <v>169</v>
      </c>
    </row>
    <row r="12" spans="1:4" ht="114.75" x14ac:dyDescent="0.2">
      <c r="A12" s="10" t="s">
        <v>168</v>
      </c>
      <c r="B12" s="12">
        <v>45146</v>
      </c>
      <c r="C12" s="7" t="s">
        <v>193</v>
      </c>
      <c r="D12" s="10" t="s">
        <v>169</v>
      </c>
    </row>
    <row r="13" spans="1:4" ht="114.75" x14ac:dyDescent="0.2">
      <c r="A13" s="10" t="s">
        <v>229</v>
      </c>
      <c r="B13" s="12">
        <v>45147</v>
      </c>
      <c r="C13" s="7" t="s">
        <v>234</v>
      </c>
      <c r="D13" s="10" t="s">
        <v>170</v>
      </c>
    </row>
    <row r="14" spans="1:4" x14ac:dyDescent="0.2">
      <c r="A14" s="10" t="s">
        <v>240</v>
      </c>
      <c r="B14" s="12">
        <v>45155</v>
      </c>
      <c r="C14" s="7" t="s">
        <v>241</v>
      </c>
      <c r="D14" s="10" t="s">
        <v>170</v>
      </c>
    </row>
    <row r="15" spans="1:4" x14ac:dyDescent="0.2">
      <c r="A15" s="10" t="s">
        <v>277</v>
      </c>
      <c r="B15" s="12">
        <v>45155</v>
      </c>
      <c r="C15" s="7" t="s">
        <v>278</v>
      </c>
      <c r="D15" s="10" t="s">
        <v>170</v>
      </c>
    </row>
    <row r="16" spans="1:4" x14ac:dyDescent="0.2">
      <c r="A16" s="10" t="s">
        <v>282</v>
      </c>
      <c r="B16" s="12">
        <v>45155</v>
      </c>
      <c r="C16" s="7" t="s">
        <v>284</v>
      </c>
      <c r="D16" s="10" t="s">
        <v>170</v>
      </c>
    </row>
    <row r="17" spans="1:4" x14ac:dyDescent="0.2">
      <c r="A17" s="10" t="s">
        <v>286</v>
      </c>
      <c r="B17" s="12">
        <v>45161</v>
      </c>
      <c r="C17" s="7" t="s">
        <v>287</v>
      </c>
      <c r="D17" s="10" t="s">
        <v>170</v>
      </c>
    </row>
    <row r="18" spans="1:4" ht="25.5" x14ac:dyDescent="0.2">
      <c r="A18" s="10" t="s">
        <v>292</v>
      </c>
      <c r="B18" s="12">
        <v>45162</v>
      </c>
      <c r="C18" s="7" t="s">
        <v>293</v>
      </c>
      <c r="D18" s="10" t="s">
        <v>170</v>
      </c>
    </row>
    <row r="19" spans="1:4" ht="25.5" x14ac:dyDescent="0.2">
      <c r="A19" s="10" t="s">
        <v>294</v>
      </c>
      <c r="B19" s="12">
        <v>44989</v>
      </c>
      <c r="C19" s="7" t="s">
        <v>296</v>
      </c>
      <c r="D19" s="10" t="s">
        <v>170</v>
      </c>
    </row>
    <row r="20" spans="1:4" ht="140.25" x14ac:dyDescent="0.2">
      <c r="A20" s="10" t="s">
        <v>297</v>
      </c>
      <c r="B20" s="12">
        <v>45406</v>
      </c>
      <c r="C20" s="7" t="s">
        <v>644</v>
      </c>
      <c r="D20" s="10" t="s">
        <v>170</v>
      </c>
    </row>
    <row r="21" spans="1:4" ht="63.75" x14ac:dyDescent="0.2">
      <c r="A21" s="10" t="s">
        <v>648</v>
      </c>
      <c r="B21" s="12">
        <v>45488</v>
      </c>
      <c r="C21" s="7" t="s">
        <v>651</v>
      </c>
      <c r="D21" s="10" t="s">
        <v>170</v>
      </c>
    </row>
    <row r="22" spans="1:4" x14ac:dyDescent="0.2">
      <c r="A22" s="10" t="s">
        <v>653</v>
      </c>
      <c r="B22" s="12">
        <v>45488</v>
      </c>
      <c r="C22" s="7" t="s">
        <v>654</v>
      </c>
      <c r="D22" s="10" t="s">
        <v>170</v>
      </c>
    </row>
    <row r="23" spans="1:4" ht="38.25" x14ac:dyDescent="0.2">
      <c r="A23" s="10" t="s">
        <v>660</v>
      </c>
      <c r="B23" s="12">
        <v>45310</v>
      </c>
      <c r="C23" s="7" t="s">
        <v>669</v>
      </c>
      <c r="D23" s="10" t="s">
        <v>170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xmlns:xlrd2="http://schemas.microsoft.com/office/spreadsheetml/2017/richdata2" ref="A2:D20">
    <sortCondition ref="A2:A20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0641FB90A72774489E9B5A94412E795" ma:contentTypeVersion="7" ma:contentTypeDescription="新建文档。" ma:contentTypeScope="" ma:versionID="012b62084b8b1b177043010262bd8c8e">
  <xsd:schema xmlns:xsd="http://www.w3.org/2001/XMLSchema" xmlns:xs="http://www.w3.org/2001/XMLSchema" xmlns:p="http://schemas.microsoft.com/office/2006/metadata/properties" xmlns:ns2="5f7afbcb-bcb8-4289-8ac8-fa2ee7331961" targetNamespace="http://schemas.microsoft.com/office/2006/metadata/properties" ma:root="true" ma:fieldsID="a5dcfbc01df7e1579384080921e28484" ns2:_="">
    <xsd:import namespace="5f7afbcb-bcb8-4289-8ac8-fa2ee7331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fbcb-bcb8-4289-8ac8-fa2ee7331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D43060-FF86-42B8-BEA9-D595F6453191}"/>
</file>

<file path=customXml/itemProps2.xml><?xml version="1.0" encoding="utf-8"?>
<ds:datastoreItem xmlns:ds="http://schemas.openxmlformats.org/officeDocument/2006/customXml" ds:itemID="{67CCE590-7A8B-4D22-94BB-DC3FF54A6C80}"/>
</file>

<file path=customXml/itemProps3.xml><?xml version="1.0" encoding="utf-8"?>
<ds:datastoreItem xmlns:ds="http://schemas.openxmlformats.org/officeDocument/2006/customXml" ds:itemID="{4AFC3866-8FA9-45C2-9D34-28D32D831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26</vt:i4>
      </vt:variant>
    </vt:vector>
  </HeadingPairs>
  <TitlesOfParts>
    <vt:vector size="35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  <vt:lpstr>AMR_NB_Br</vt:lpstr>
      <vt:lpstr>AMR_WB_Br</vt:lpstr>
      <vt:lpstr>Bitrate</vt:lpstr>
      <vt:lpstr>CDMA_Vc_Bw</vt:lpstr>
      <vt:lpstr>EVS_NB_Br</vt:lpstr>
      <vt:lpstr>EVS_SWB_Br</vt:lpstr>
      <vt:lpstr>EVS_WB_Br</vt:lpstr>
      <vt:lpstr>GSM_Vc_Bw</vt:lpstr>
      <vt:lpstr>HardwareVersions</vt:lpstr>
      <vt:lpstr>HeadsetTypes</vt:lpstr>
      <vt:lpstr>InterfaceType</vt:lpstr>
      <vt:lpstr>InterfaceTypes</vt:lpstr>
      <vt:lpstr>Network</vt:lpstr>
      <vt:lpstr>Networks</vt:lpstr>
      <vt:lpstr>SO3_NB_Br</vt:lpstr>
      <vt:lpstr>SO68_NB_Br</vt:lpstr>
      <vt:lpstr>SO73_NB_Br</vt:lpstr>
      <vt:lpstr>SO73_WB_Br</vt:lpstr>
      <vt:lpstr>SWB_Br</vt:lpstr>
      <vt:lpstr>VCBW</vt:lpstr>
      <vt:lpstr>VoIP_Vc_Bw</vt:lpstr>
      <vt:lpstr>VoLTE_Vc_Bw</vt:lpstr>
      <vt:lpstr>VoNR_Vc_Bw</vt:lpstr>
      <vt:lpstr>VoWiFi_Vc_Bw</vt:lpstr>
      <vt:lpstr>WB_Br</vt:lpstr>
      <vt:lpstr>WCDMA_Vc_Bw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Hao Hao3 Hu</cp:lastModifiedBy>
  <dcterms:created xsi:type="dcterms:W3CDTF">2019-07-06T08:50:29Z</dcterms:created>
  <dcterms:modified xsi:type="dcterms:W3CDTF">2025-01-19T12:23:19Z</dcterms:modified>
  <cp:category>Checklist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</Properties>
</file>